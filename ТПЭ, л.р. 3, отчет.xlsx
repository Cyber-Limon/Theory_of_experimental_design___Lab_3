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C9EBBCD4-2042-494D-87A0-AD2DA7B285F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Генерация" sheetId="1" r:id="rId1"/>
    <sheet name="Полученные значения" sheetId="2" r:id="rId2"/>
    <sheet name="Лабораторная работа 2" sheetId="3" r:id="rId3"/>
    <sheet name="Лабораторная работа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9" i="4" l="1"/>
  <c r="N99" i="4"/>
  <c r="O99" i="4"/>
  <c r="P99" i="4"/>
  <c r="Q99" i="4"/>
  <c r="M100" i="4"/>
  <c r="N100" i="4"/>
  <c r="O100" i="4"/>
  <c r="P100" i="4"/>
  <c r="Q100" i="4"/>
  <c r="M101" i="4"/>
  <c r="N101" i="4"/>
  <c r="O101" i="4"/>
  <c r="Q101" i="4" s="1"/>
  <c r="P104" i="4" s="1"/>
  <c r="P101" i="4"/>
  <c r="M102" i="4"/>
  <c r="N102" i="4"/>
  <c r="O102" i="4"/>
  <c r="P102" i="4"/>
  <c r="Q102" i="4"/>
  <c r="M103" i="4"/>
  <c r="N103" i="4"/>
  <c r="O103" i="4"/>
  <c r="P103" i="4"/>
  <c r="Q103" i="4"/>
  <c r="M92" i="4"/>
  <c r="N92" i="4"/>
  <c r="O92" i="4"/>
  <c r="P92" i="4"/>
  <c r="Q92" i="4"/>
  <c r="M93" i="4"/>
  <c r="N93" i="4"/>
  <c r="O93" i="4"/>
  <c r="P93" i="4"/>
  <c r="Q93" i="4"/>
  <c r="R92" i="4" s="1"/>
  <c r="M94" i="4"/>
  <c r="N94" i="4"/>
  <c r="O94" i="4"/>
  <c r="P94" i="4"/>
  <c r="Q94" i="4"/>
  <c r="P97" i="4" s="1"/>
  <c r="M95" i="4"/>
  <c r="N95" i="4"/>
  <c r="O95" i="4"/>
  <c r="P95" i="4"/>
  <c r="Q95" i="4"/>
  <c r="M96" i="4"/>
  <c r="N96" i="4"/>
  <c r="O96" i="4"/>
  <c r="P96" i="4"/>
  <c r="Q96" i="4"/>
  <c r="M85" i="4"/>
  <c r="N85" i="4"/>
  <c r="O85" i="4"/>
  <c r="P85" i="4"/>
  <c r="Q85" i="4"/>
  <c r="M86" i="4"/>
  <c r="N86" i="4"/>
  <c r="O86" i="4"/>
  <c r="P86" i="4"/>
  <c r="Q86" i="4"/>
  <c r="M87" i="4"/>
  <c r="N87" i="4"/>
  <c r="Q87" i="4" s="1"/>
  <c r="O87" i="4"/>
  <c r="P87" i="4"/>
  <c r="M88" i="4"/>
  <c r="N88" i="4"/>
  <c r="O88" i="4"/>
  <c r="P88" i="4"/>
  <c r="Q88" i="4"/>
  <c r="M89" i="4"/>
  <c r="N89" i="4"/>
  <c r="O89" i="4"/>
  <c r="P89" i="4"/>
  <c r="Q89" i="4" s="1"/>
  <c r="M78" i="4"/>
  <c r="N78" i="4"/>
  <c r="O78" i="4"/>
  <c r="P78" i="4"/>
  <c r="Q78" i="4" s="1"/>
  <c r="M79" i="4"/>
  <c r="N79" i="4"/>
  <c r="O79" i="4"/>
  <c r="P79" i="4"/>
  <c r="Q79" i="4"/>
  <c r="M80" i="4"/>
  <c r="N80" i="4"/>
  <c r="O80" i="4"/>
  <c r="P80" i="4"/>
  <c r="Q80" i="4"/>
  <c r="M81" i="4"/>
  <c r="N81" i="4"/>
  <c r="O81" i="4"/>
  <c r="P81" i="4"/>
  <c r="Q81" i="4"/>
  <c r="M82" i="4"/>
  <c r="N82" i="4"/>
  <c r="O82" i="4"/>
  <c r="P82" i="4"/>
  <c r="Q82" i="4"/>
  <c r="M64" i="4"/>
  <c r="N64" i="4"/>
  <c r="O64" i="4"/>
  <c r="P64" i="4"/>
  <c r="Q64" i="4"/>
  <c r="M71" i="4" s="1"/>
  <c r="M65" i="4"/>
  <c r="N65" i="4"/>
  <c r="O65" i="4"/>
  <c r="P65" i="4"/>
  <c r="Q65" i="4"/>
  <c r="R64" i="4" s="1"/>
  <c r="M66" i="4"/>
  <c r="N66" i="4"/>
  <c r="O66" i="4"/>
  <c r="P66" i="4"/>
  <c r="Q66" i="4"/>
  <c r="N73" i="4" s="1"/>
  <c r="M67" i="4"/>
  <c r="N67" i="4"/>
  <c r="O67" i="4"/>
  <c r="P67" i="4"/>
  <c r="Q67" i="4"/>
  <c r="M68" i="4"/>
  <c r="N68" i="4"/>
  <c r="O68" i="4"/>
  <c r="P68" i="4"/>
  <c r="Q68" i="4"/>
  <c r="M75" i="4" s="1"/>
  <c r="M57" i="4"/>
  <c r="N57" i="4"/>
  <c r="O57" i="4"/>
  <c r="Q57" i="4" s="1"/>
  <c r="P57" i="4"/>
  <c r="M58" i="4"/>
  <c r="N58" i="4"/>
  <c r="O58" i="4"/>
  <c r="P58" i="4"/>
  <c r="Q58" i="4"/>
  <c r="M59" i="4"/>
  <c r="Q59" i="4" s="1"/>
  <c r="N59" i="4"/>
  <c r="O59" i="4"/>
  <c r="P59" i="4"/>
  <c r="M60" i="4"/>
  <c r="N60" i="4"/>
  <c r="O60" i="4"/>
  <c r="P60" i="4"/>
  <c r="Q60" i="4"/>
  <c r="M61" i="4"/>
  <c r="N61" i="4"/>
  <c r="O61" i="4"/>
  <c r="P61" i="4"/>
  <c r="Q61" i="4" s="1"/>
  <c r="M50" i="4"/>
  <c r="N50" i="4"/>
  <c r="O50" i="4"/>
  <c r="P50" i="4"/>
  <c r="Q50" i="4"/>
  <c r="R50" i="4" s="1"/>
  <c r="M51" i="4"/>
  <c r="N51" i="4"/>
  <c r="O51" i="4"/>
  <c r="P51" i="4"/>
  <c r="Q51" i="4"/>
  <c r="M52" i="4"/>
  <c r="N52" i="4"/>
  <c r="O52" i="4"/>
  <c r="P52" i="4"/>
  <c r="Q52" i="4"/>
  <c r="P55" i="4" s="1"/>
  <c r="M53" i="4"/>
  <c r="N53" i="4"/>
  <c r="O53" i="4"/>
  <c r="P53" i="4"/>
  <c r="Q53" i="4"/>
  <c r="M54" i="4"/>
  <c r="N54" i="4"/>
  <c r="O54" i="4"/>
  <c r="P54" i="4"/>
  <c r="Q54" i="4"/>
  <c r="M29" i="4"/>
  <c r="N29" i="4"/>
  <c r="O29" i="4"/>
  <c r="P29" i="4"/>
  <c r="Q29" i="4"/>
  <c r="M30" i="4"/>
  <c r="N30" i="4"/>
  <c r="O30" i="4"/>
  <c r="P30" i="4"/>
  <c r="Q30" i="4"/>
  <c r="R29" i="4" s="1"/>
  <c r="M31" i="4"/>
  <c r="N31" i="4"/>
  <c r="O31" i="4"/>
  <c r="P31" i="4"/>
  <c r="Q31" i="4"/>
  <c r="N38" i="4" s="1"/>
  <c r="M32" i="4"/>
  <c r="N32" i="4"/>
  <c r="O32" i="4"/>
  <c r="P32" i="4"/>
  <c r="Q32" i="4"/>
  <c r="M33" i="4"/>
  <c r="N33" i="4"/>
  <c r="O33" i="4"/>
  <c r="P33" i="4"/>
  <c r="Q33" i="4"/>
  <c r="M40" i="4" s="1"/>
  <c r="M22" i="4"/>
  <c r="N22" i="4"/>
  <c r="O22" i="4"/>
  <c r="P22" i="4"/>
  <c r="Q22" i="4"/>
  <c r="M23" i="4"/>
  <c r="N23" i="4"/>
  <c r="O23" i="4"/>
  <c r="P23" i="4"/>
  <c r="Q23" i="4"/>
  <c r="M24" i="4"/>
  <c r="N24" i="4"/>
  <c r="O24" i="4"/>
  <c r="P24" i="4"/>
  <c r="Q24" i="4"/>
  <c r="M25" i="4"/>
  <c r="N25" i="4"/>
  <c r="O25" i="4"/>
  <c r="P25" i="4"/>
  <c r="Q25" i="4"/>
  <c r="M26" i="4"/>
  <c r="N26" i="4"/>
  <c r="O26" i="4"/>
  <c r="P26" i="4"/>
  <c r="Q26" i="4" s="1"/>
  <c r="P20" i="4"/>
  <c r="O20" i="4"/>
  <c r="N20" i="4"/>
  <c r="M20" i="4"/>
  <c r="M9" i="4"/>
  <c r="M10" i="4"/>
  <c r="M11" i="4"/>
  <c r="N11" i="4"/>
  <c r="M12" i="4"/>
  <c r="N12" i="4"/>
  <c r="O12" i="4"/>
  <c r="P8" i="4"/>
  <c r="F30" i="4"/>
  <c r="E30" i="4"/>
  <c r="D30" i="4"/>
  <c r="C30" i="4"/>
  <c r="B30" i="4"/>
  <c r="N4" i="4"/>
  <c r="N9" i="4" s="1"/>
  <c r="O3" i="4"/>
  <c r="O8" i="4" s="1"/>
  <c r="O4" i="4"/>
  <c r="O9" i="4" s="1"/>
  <c r="O5" i="4"/>
  <c r="O10" i="4" s="1"/>
  <c r="P6" i="4"/>
  <c r="P11" i="4" s="1"/>
  <c r="P5" i="4"/>
  <c r="P10" i="4" s="1"/>
  <c r="P4" i="4"/>
  <c r="P9" i="4" s="1"/>
  <c r="P3" i="4"/>
  <c r="P7" i="4"/>
  <c r="P12" i="4" s="1"/>
  <c r="O6" i="4"/>
  <c r="N5" i="4"/>
  <c r="N10" i="4" s="1"/>
  <c r="M4" i="4"/>
  <c r="N3" i="4"/>
  <c r="N8" i="4" s="1"/>
  <c r="M3" i="4"/>
  <c r="M8" i="4" s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3" i="4"/>
  <c r="R21" i="3"/>
  <c r="C26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N104" i="4" l="1"/>
  <c r="R99" i="4"/>
  <c r="O104" i="4"/>
  <c r="M104" i="4"/>
  <c r="O97" i="4"/>
  <c r="M97" i="4"/>
  <c r="N97" i="4"/>
  <c r="O90" i="4"/>
  <c r="M90" i="4"/>
  <c r="P90" i="4"/>
  <c r="N90" i="4"/>
  <c r="R85" i="4"/>
  <c r="O83" i="4"/>
  <c r="N83" i="4"/>
  <c r="R78" i="4"/>
  <c r="M83" i="4"/>
  <c r="P83" i="4"/>
  <c r="M72" i="4"/>
  <c r="P72" i="4"/>
  <c r="O75" i="4"/>
  <c r="P71" i="4"/>
  <c r="P69" i="4"/>
  <c r="M73" i="4"/>
  <c r="O69" i="4"/>
  <c r="N69" i="4"/>
  <c r="M69" i="4"/>
  <c r="N71" i="4"/>
  <c r="Q71" i="4" s="1"/>
  <c r="P73" i="4"/>
  <c r="O72" i="4"/>
  <c r="N75" i="4"/>
  <c r="Q75" i="4" s="1"/>
  <c r="O71" i="4"/>
  <c r="O73" i="4"/>
  <c r="P75" i="4"/>
  <c r="N72" i="4"/>
  <c r="P62" i="4"/>
  <c r="R57" i="4"/>
  <c r="M62" i="4"/>
  <c r="N62" i="4"/>
  <c r="O62" i="4"/>
  <c r="N55" i="4"/>
  <c r="M55" i="4"/>
  <c r="O55" i="4"/>
  <c r="O37" i="4"/>
  <c r="P34" i="4"/>
  <c r="O40" i="4"/>
  <c r="N40" i="4"/>
  <c r="Q40" i="4" s="1"/>
  <c r="P37" i="4"/>
  <c r="P40" i="4"/>
  <c r="N34" i="4"/>
  <c r="O36" i="4"/>
  <c r="M38" i="4"/>
  <c r="N36" i="4"/>
  <c r="M34" i="4"/>
  <c r="P38" i="4"/>
  <c r="N37" i="4"/>
  <c r="M37" i="4"/>
  <c r="P36" i="4"/>
  <c r="M36" i="4"/>
  <c r="O38" i="4"/>
  <c r="O34" i="4"/>
  <c r="N27" i="4"/>
  <c r="M27" i="4"/>
  <c r="O27" i="4"/>
  <c r="R22" i="4"/>
  <c r="P27" i="4"/>
  <c r="Q6" i="4"/>
  <c r="O11" i="4"/>
  <c r="Q11" i="4" s="1"/>
  <c r="Q9" i="4"/>
  <c r="Q7" i="4"/>
  <c r="Q12" i="4"/>
  <c r="Q10" i="4"/>
  <c r="Q8" i="4"/>
  <c r="Q4" i="4"/>
  <c r="Q3" i="4"/>
  <c r="Q5" i="4"/>
  <c r="T22" i="3"/>
  <c r="T21" i="3"/>
  <c r="B26" i="3"/>
  <c r="S21" i="3"/>
  <c r="F21" i="3"/>
  <c r="P21" i="3"/>
  <c r="P45" i="3"/>
  <c r="P22" i="3"/>
  <c r="E21" i="3"/>
  <c r="D21" i="3"/>
  <c r="C21" i="3"/>
  <c r="B21" i="3"/>
  <c r="T45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S45" i="3"/>
  <c r="S22" i="3"/>
  <c r="P23" i="3"/>
  <c r="Q23" i="3" s="1"/>
  <c r="P24" i="3"/>
  <c r="Q24" i="3" s="1"/>
  <c r="P25" i="3"/>
  <c r="Q25" i="3" s="1"/>
  <c r="P26" i="3"/>
  <c r="Q26" i="3" s="1"/>
  <c r="P27" i="3"/>
  <c r="S27" i="3" s="1"/>
  <c r="P28" i="3"/>
  <c r="S28" i="3" s="1"/>
  <c r="P29" i="3"/>
  <c r="S29" i="3" s="1"/>
  <c r="P30" i="3"/>
  <c r="S30" i="3" s="1"/>
  <c r="P31" i="3"/>
  <c r="S31" i="3" s="1"/>
  <c r="P32" i="3"/>
  <c r="S32" i="3" s="1"/>
  <c r="P33" i="3"/>
  <c r="Q33" i="3" s="1"/>
  <c r="P34" i="3"/>
  <c r="S34" i="3" s="1"/>
  <c r="P35" i="3"/>
  <c r="S35" i="3" s="1"/>
  <c r="P36" i="3"/>
  <c r="S36" i="3" s="1"/>
  <c r="P37" i="3"/>
  <c r="S37" i="3" s="1"/>
  <c r="P38" i="3"/>
  <c r="S38" i="3" s="1"/>
  <c r="P39" i="3"/>
  <c r="Q39" i="3" s="1"/>
  <c r="P40" i="3"/>
  <c r="Q40" i="3" s="1"/>
  <c r="P41" i="3"/>
  <c r="S41" i="3" s="1"/>
  <c r="P42" i="3"/>
  <c r="S42" i="3" s="1"/>
  <c r="P43" i="3"/>
  <c r="S43" i="3" s="1"/>
  <c r="P44" i="3"/>
  <c r="S44" i="3" s="1"/>
  <c r="O45" i="3"/>
  <c r="O44" i="3"/>
  <c r="Q44" i="3" s="1"/>
  <c r="O43" i="3"/>
  <c r="Q43" i="3" s="1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Q28" i="3" s="1"/>
  <c r="O27" i="3"/>
  <c r="O26" i="3"/>
  <c r="O25" i="3"/>
  <c r="O24" i="3"/>
  <c r="O23" i="3"/>
  <c r="O22" i="3"/>
  <c r="O21" i="3"/>
  <c r="O8" i="3"/>
  <c r="S8" i="3"/>
  <c r="W8" i="3"/>
  <c r="K8" i="3"/>
  <c r="Y4" i="3"/>
  <c r="Y5" i="3"/>
  <c r="Y6" i="3"/>
  <c r="Y7" i="3"/>
  <c r="Y3" i="3"/>
  <c r="U4" i="3"/>
  <c r="U5" i="3"/>
  <c r="U6" i="3"/>
  <c r="U7" i="3"/>
  <c r="U3" i="3"/>
  <c r="Q4" i="3"/>
  <c r="Q5" i="3"/>
  <c r="Q6" i="3"/>
  <c r="Q7" i="3"/>
  <c r="Q3" i="3"/>
  <c r="M4" i="3"/>
  <c r="M5" i="3"/>
  <c r="M6" i="3"/>
  <c r="M7" i="3"/>
  <c r="M3" i="3"/>
  <c r="G17" i="3"/>
  <c r="G16" i="3"/>
  <c r="G15" i="3"/>
  <c r="G14" i="3"/>
  <c r="G13" i="3"/>
  <c r="F17" i="3"/>
  <c r="F16" i="3"/>
  <c r="F15" i="3"/>
  <c r="F14" i="3"/>
  <c r="F13" i="3"/>
  <c r="E17" i="3"/>
  <c r="E16" i="3"/>
  <c r="E15" i="3"/>
  <c r="E14" i="3"/>
  <c r="E13" i="3"/>
  <c r="D17" i="3"/>
  <c r="D16" i="3"/>
  <c r="D15" i="3"/>
  <c r="D14" i="3"/>
  <c r="D13" i="3"/>
  <c r="C17" i="3"/>
  <c r="C16" i="3"/>
  <c r="C15" i="3"/>
  <c r="C14" i="3"/>
  <c r="C13" i="3"/>
  <c r="G8" i="3"/>
  <c r="G7" i="3"/>
  <c r="G6" i="3"/>
  <c r="G5" i="3"/>
  <c r="G4" i="3"/>
  <c r="F8" i="3"/>
  <c r="F7" i="3"/>
  <c r="F6" i="3"/>
  <c r="F5" i="3"/>
  <c r="F4" i="3"/>
  <c r="E8" i="3"/>
  <c r="E7" i="3"/>
  <c r="E6" i="3"/>
  <c r="E5" i="3"/>
  <c r="E4" i="3"/>
  <c r="D8" i="3"/>
  <c r="D7" i="3"/>
  <c r="D6" i="3"/>
  <c r="D5" i="3"/>
  <c r="D4" i="3"/>
  <c r="C8" i="3"/>
  <c r="C7" i="3"/>
  <c r="C6" i="3"/>
  <c r="C5" i="3"/>
  <c r="C4" i="3"/>
  <c r="AD11" i="1"/>
  <c r="R9" i="1"/>
  <c r="AG3" i="1"/>
  <c r="AF3" i="1"/>
  <c r="AD3" i="1"/>
  <c r="AE3" i="1"/>
  <c r="Q104" i="4" l="1"/>
  <c r="R104" i="4" s="1"/>
  <c r="P105" i="4" s="1"/>
  <c r="N105" i="4"/>
  <c r="Q97" i="4"/>
  <c r="R97" i="4" s="1"/>
  <c r="P98" i="4" s="1"/>
  <c r="Q90" i="4"/>
  <c r="R90" i="4" s="1"/>
  <c r="P91" i="4" s="1"/>
  <c r="N91" i="4"/>
  <c r="O91" i="4"/>
  <c r="Q83" i="4"/>
  <c r="R83" i="4" s="1"/>
  <c r="M84" i="4" s="1"/>
  <c r="N84" i="4"/>
  <c r="P84" i="4"/>
  <c r="O84" i="4"/>
  <c r="Q73" i="4"/>
  <c r="Q69" i="4"/>
  <c r="R69" i="4" s="1"/>
  <c r="M70" i="4" s="1"/>
  <c r="M74" i="4" s="1"/>
  <c r="P70" i="4"/>
  <c r="P74" i="4" s="1"/>
  <c r="N70" i="4"/>
  <c r="N74" i="4" s="1"/>
  <c r="Q72" i="4"/>
  <c r="Q62" i="4"/>
  <c r="R62" i="4" s="1"/>
  <c r="M63" i="4" s="1"/>
  <c r="N63" i="4"/>
  <c r="O63" i="4"/>
  <c r="P63" i="4"/>
  <c r="Q55" i="4"/>
  <c r="R55" i="4" s="1"/>
  <c r="P56" i="4" s="1"/>
  <c r="Q34" i="4"/>
  <c r="R34" i="4" s="1"/>
  <c r="M35" i="4" s="1"/>
  <c r="M39" i="4" s="1"/>
  <c r="Q39" i="4" s="1"/>
  <c r="N35" i="4"/>
  <c r="N39" i="4" s="1"/>
  <c r="Q38" i="4"/>
  <c r="O35" i="4"/>
  <c r="O39" i="4" s="1"/>
  <c r="Q36" i="4"/>
  <c r="P35" i="4"/>
  <c r="P39" i="4" s="1"/>
  <c r="Q37" i="4"/>
  <c r="Q27" i="4"/>
  <c r="R27" i="4" s="1"/>
  <c r="O28" i="4" s="1"/>
  <c r="P28" i="4"/>
  <c r="N28" i="4"/>
  <c r="N16" i="4"/>
  <c r="O16" i="4"/>
  <c r="P16" i="4"/>
  <c r="M16" i="4"/>
  <c r="P18" i="4"/>
  <c r="M18" i="4"/>
  <c r="N18" i="4"/>
  <c r="O18" i="4"/>
  <c r="R3" i="4"/>
  <c r="P17" i="4"/>
  <c r="N17" i="4"/>
  <c r="O17" i="4"/>
  <c r="M17" i="4"/>
  <c r="Q17" i="4" s="1"/>
  <c r="N19" i="4"/>
  <c r="O19" i="4"/>
  <c r="P19" i="4"/>
  <c r="M19" i="4"/>
  <c r="M13" i="4"/>
  <c r="P13" i="4"/>
  <c r="O13" i="4"/>
  <c r="N13" i="4"/>
  <c r="R8" i="4"/>
  <c r="Q21" i="3"/>
  <c r="Q36" i="3"/>
  <c r="Q37" i="3"/>
  <c r="Q29" i="3"/>
  <c r="Q35" i="3"/>
  <c r="Q45" i="3"/>
  <c r="Q22" i="3"/>
  <c r="Q30" i="3"/>
  <c r="S33" i="3"/>
  <c r="Q42" i="3"/>
  <c r="S26" i="3"/>
  <c r="Q41" i="3"/>
  <c r="S25" i="3"/>
  <c r="Q38" i="3"/>
  <c r="Q34" i="3"/>
  <c r="Q27" i="3"/>
  <c r="Q32" i="3"/>
  <c r="Q31" i="3"/>
  <c r="S40" i="3"/>
  <c r="S24" i="3"/>
  <c r="S39" i="3"/>
  <c r="S23" i="3"/>
  <c r="M8" i="3"/>
  <c r="Q8" i="3"/>
  <c r="U8" i="3"/>
  <c r="Y8" i="3"/>
  <c r="H4" i="3"/>
  <c r="P3" i="3" s="1"/>
  <c r="E18" i="3"/>
  <c r="T5" i="3" s="1"/>
  <c r="V5" i="3" s="1"/>
  <c r="H13" i="3"/>
  <c r="X3" i="3" s="1"/>
  <c r="E9" i="3"/>
  <c r="L5" i="3" s="1"/>
  <c r="N5" i="3" s="1"/>
  <c r="H14" i="3"/>
  <c r="X4" i="3" s="1"/>
  <c r="Z4" i="3" s="1"/>
  <c r="H17" i="3"/>
  <c r="X7" i="3" s="1"/>
  <c r="Z7" i="3" s="1"/>
  <c r="H7" i="3"/>
  <c r="P6" i="3" s="1"/>
  <c r="R6" i="3" s="1"/>
  <c r="H5" i="3"/>
  <c r="P4" i="3" s="1"/>
  <c r="R4" i="3" s="1"/>
  <c r="H15" i="3"/>
  <c r="X5" i="3" s="1"/>
  <c r="Z5" i="3" s="1"/>
  <c r="D18" i="3"/>
  <c r="T4" i="3" s="1"/>
  <c r="V4" i="3" s="1"/>
  <c r="H8" i="3"/>
  <c r="P7" i="3" s="1"/>
  <c r="R7" i="3" s="1"/>
  <c r="H16" i="3"/>
  <c r="X6" i="3" s="1"/>
  <c r="Z6" i="3" s="1"/>
  <c r="F18" i="3"/>
  <c r="T6" i="3" s="1"/>
  <c r="V6" i="3" s="1"/>
  <c r="H6" i="3"/>
  <c r="P5" i="3" s="1"/>
  <c r="R5" i="3" s="1"/>
  <c r="G9" i="3"/>
  <c r="L7" i="3" s="1"/>
  <c r="N7" i="3" s="1"/>
  <c r="D9" i="3"/>
  <c r="G18" i="3"/>
  <c r="T7" i="3" s="1"/>
  <c r="V7" i="3" s="1"/>
  <c r="F9" i="3"/>
  <c r="L6" i="3" s="1"/>
  <c r="N6" i="3" s="1"/>
  <c r="C9" i="3"/>
  <c r="C18" i="3"/>
  <c r="T3" i="3" s="1"/>
  <c r="T12" i="1"/>
  <c r="N15" i="1"/>
  <c r="P22" i="1"/>
  <c r="O26" i="1"/>
  <c r="I13" i="1"/>
  <c r="V24" i="1"/>
  <c r="U18" i="1"/>
  <c r="W20" i="1"/>
  <c r="J14" i="1"/>
  <c r="M7" i="1"/>
  <c r="Q8" i="1"/>
  <c r="X19" i="1"/>
  <c r="F4" i="1"/>
  <c r="S6" i="1"/>
  <c r="AB28" i="1"/>
  <c r="G10" i="1"/>
  <c r="AA17" i="1"/>
  <c r="K25" i="1"/>
  <c r="H16" i="1"/>
  <c r="Z11" i="1"/>
  <c r="L21" i="1"/>
  <c r="E23" i="1"/>
  <c r="Y5" i="1"/>
  <c r="D27" i="1"/>
  <c r="O105" i="4" l="1"/>
  <c r="M105" i="4"/>
  <c r="M98" i="4"/>
  <c r="O98" i="4"/>
  <c r="N98" i="4"/>
  <c r="M91" i="4"/>
  <c r="O70" i="4"/>
  <c r="O74" i="4" s="1"/>
  <c r="Q74" i="4" s="1"/>
  <c r="N56" i="4"/>
  <c r="M56" i="4"/>
  <c r="O56" i="4"/>
  <c r="P46" i="4"/>
  <c r="O46" i="4"/>
  <c r="M46" i="4"/>
  <c r="N46" i="4"/>
  <c r="O44" i="4"/>
  <c r="N44" i="4"/>
  <c r="P44" i="4"/>
  <c r="M44" i="4"/>
  <c r="Q44" i="4" s="1"/>
  <c r="O41" i="4"/>
  <c r="P41" i="4"/>
  <c r="N43" i="4"/>
  <c r="P43" i="4"/>
  <c r="R36" i="4"/>
  <c r="O43" i="4"/>
  <c r="M43" i="4"/>
  <c r="Q43" i="4" s="1"/>
  <c r="N41" i="4"/>
  <c r="M41" i="4"/>
  <c r="N45" i="4"/>
  <c r="P45" i="4"/>
  <c r="M45" i="4"/>
  <c r="O45" i="4"/>
  <c r="M28" i="4"/>
  <c r="Q18" i="4"/>
  <c r="Q19" i="4"/>
  <c r="Q16" i="4"/>
  <c r="Q13" i="4"/>
  <c r="R13" i="4" s="1"/>
  <c r="M14" i="4" s="1"/>
  <c r="M15" i="4" s="1"/>
  <c r="O14" i="4"/>
  <c r="O15" i="4" s="1"/>
  <c r="L4" i="3"/>
  <c r="N4" i="3" s="1"/>
  <c r="V3" i="3"/>
  <c r="V8" i="3" s="1"/>
  <c r="T8" i="3"/>
  <c r="Z3" i="3"/>
  <c r="Z8" i="3" s="1"/>
  <c r="X8" i="3"/>
  <c r="L3" i="3"/>
  <c r="R3" i="3"/>
  <c r="R8" i="3" s="1"/>
  <c r="P8" i="3"/>
  <c r="O76" i="4" l="1"/>
  <c r="N76" i="4"/>
  <c r="P76" i="4"/>
  <c r="M76" i="4"/>
  <c r="R71" i="4"/>
  <c r="Q45" i="4"/>
  <c r="Q46" i="4"/>
  <c r="Q41" i="4"/>
  <c r="R41" i="4" s="1"/>
  <c r="N42" i="4" s="1"/>
  <c r="N47" i="4" s="1"/>
  <c r="M42" i="4"/>
  <c r="M47" i="4" s="1"/>
  <c r="N14" i="4"/>
  <c r="N15" i="4" s="1"/>
  <c r="Q15" i="4" s="1"/>
  <c r="P14" i="4"/>
  <c r="P15" i="4" s="1"/>
  <c r="P9" i="3"/>
  <c r="R9" i="3" s="1"/>
  <c r="L8" i="3"/>
  <c r="N3" i="3"/>
  <c r="N8" i="3" s="1"/>
  <c r="L9" i="3" s="1"/>
  <c r="N9" i="3" s="1"/>
  <c r="X9" i="3"/>
  <c r="Z9" i="3" s="1"/>
  <c r="T9" i="3"/>
  <c r="V9" i="3" s="1"/>
  <c r="Q76" i="4" l="1"/>
  <c r="R76" i="4" s="1"/>
  <c r="M77" i="4" s="1"/>
  <c r="N77" i="4"/>
  <c r="P77" i="4"/>
  <c r="O77" i="4"/>
  <c r="P42" i="4"/>
  <c r="P47" i="4" s="1"/>
  <c r="O42" i="4"/>
  <c r="O47" i="4" s="1"/>
  <c r="Q47" i="4" s="1"/>
  <c r="R15" i="4"/>
  <c r="R43" i="4" l="1"/>
  <c r="P48" i="4"/>
  <c r="O48" i="4"/>
  <c r="N48" i="4"/>
  <c r="M48" i="4"/>
  <c r="Q20" i="4"/>
  <c r="R20" i="4" s="1"/>
  <c r="O21" i="4" s="1"/>
  <c r="Q48" i="4" l="1"/>
  <c r="R48" i="4" s="1"/>
  <c r="N49" i="4" s="1"/>
  <c r="M49" i="4"/>
  <c r="O49" i="4"/>
  <c r="P21" i="4"/>
  <c r="M21" i="4"/>
  <c r="N21" i="4"/>
  <c r="P49" i="4" l="1"/>
  <c r="Y3" i="4"/>
  <c r="U3" i="4" a="1"/>
  <c r="V3" i="4" a="1"/>
  <c r="W3" i="4" a="1"/>
  <c r="X3" i="4" a="1"/>
  <c r="X3" i="4" l="1"/>
  <c r="W3" i="4"/>
  <c r="V3" i="4"/>
  <c r="U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<sst xmlns="http://schemas.openxmlformats.org/spreadsheetml/2006/main" count="132" uniqueCount="64">
  <si>
    <t>A</t>
  </si>
  <si>
    <t>B</t>
  </si>
  <si>
    <t>C</t>
  </si>
  <si>
    <t>D</t>
  </si>
  <si>
    <t>Максим</t>
  </si>
  <si>
    <t>Шарыгин</t>
  </si>
  <si>
    <t>Имя</t>
  </si>
  <si>
    <t>Фамилия</t>
  </si>
  <si>
    <t>Месяц</t>
  </si>
  <si>
    <t>Вариант</t>
  </si>
  <si>
    <t>Проверка</t>
  </si>
  <si>
    <t>x1</t>
  </si>
  <si>
    <t>x2</t>
  </si>
  <si>
    <t>x3</t>
  </si>
  <si>
    <t>x4</t>
  </si>
  <si>
    <t>Результат</t>
  </si>
  <si>
    <t>Среднее</t>
  </si>
  <si>
    <t>X1</t>
  </si>
  <si>
    <t>Y</t>
  </si>
  <si>
    <t>X1^2</t>
  </si>
  <si>
    <t>X1Y</t>
  </si>
  <si>
    <t>X2</t>
  </si>
  <si>
    <t>X2^2</t>
  </si>
  <si>
    <t>X2Y</t>
  </si>
  <si>
    <t>X3</t>
  </si>
  <si>
    <t>X3^2</t>
  </si>
  <si>
    <t>X3Y</t>
  </si>
  <si>
    <t>X4</t>
  </si>
  <si>
    <t>X4^2</t>
  </si>
  <si>
    <t>X4Y</t>
  </si>
  <si>
    <t>Сумма</t>
  </si>
  <si>
    <t>k</t>
  </si>
  <si>
    <t>b</t>
  </si>
  <si>
    <t>Параметр</t>
  </si>
  <si>
    <t>Значение</t>
  </si>
  <si>
    <t>Коэффициенты</t>
  </si>
  <si>
    <t>Графики</t>
  </si>
  <si>
    <t>a2</t>
  </si>
  <si>
    <t>a1</t>
  </si>
  <si>
    <t>a3</t>
  </si>
  <si>
    <t>a4</t>
  </si>
  <si>
    <t>a0</t>
  </si>
  <si>
    <t>Yэкс</t>
  </si>
  <si>
    <t>Y*рег</t>
  </si>
  <si>
    <t>Delta*</t>
  </si>
  <si>
    <t>Yрег</t>
  </si>
  <si>
    <t>Delta</t>
  </si>
  <si>
    <t>(Yi-Yср)^2</t>
  </si>
  <si>
    <t>Уравнение регрессии</t>
  </si>
  <si>
    <t>Y = 2,82X1 + 3,22X2 + 4,92X3 + 17,02X4 + 0,18</t>
  </si>
  <si>
    <t>Yср</t>
  </si>
  <si>
    <t>F</t>
  </si>
  <si>
    <t>Fт</t>
  </si>
  <si>
    <t>k1</t>
  </si>
  <si>
    <t>k2</t>
  </si>
  <si>
    <t>F &lt; Fт =&gt; модель адекватна</t>
  </si>
  <si>
    <t>R</t>
  </si>
  <si>
    <t>r</t>
  </si>
  <si>
    <t>Номер шага</t>
  </si>
  <si>
    <t>Ymax - Ymin</t>
  </si>
  <si>
    <t>Новая вершина</t>
  </si>
  <si>
    <t>Новая пересчитанная вершина</t>
  </si>
  <si>
    <t>Ymax</t>
  </si>
  <si>
    <t>Оптимальные 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</si>
</sst>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" fillId="3" borderId="5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71" xfId="0" applyFont="1" applyFill="1" applyBorder="1" applyAlignment="1">
      <alignment horizontal="center" vertical="center"/>
    </xf>
    <xf numFmtId="0" fontId="4" fillId="4" borderId="66" xfId="0" applyFont="1" applyFill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4" borderId="70" xfId="0" applyFont="1" applyFill="1" applyBorder="1" applyAlignment="1">
      <alignment horizontal="center" vertical="center"/>
    </xf>
    <xf numFmtId="0" fontId="4" fillId="4" borderId="63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</cellXfs>
  <cellStyles count="1">
    <cellStyle name="Обычный" xfId="0" builtinId="0"/>
  </cellStyles>
  <dxfs count="7"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FF00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yVal>
            <c:numRef>
              <c:f>'Лабораторная работа 2'!$C$9:$G$9</c:f>
              <c:numCache>
                <c:formatCode>General</c:formatCode>
                <c:ptCount val="5"/>
                <c:pt idx="0">
                  <c:v>78.2</c:v>
                </c:pt>
                <c:pt idx="1">
                  <c:v>81.400000000000006</c:v>
                </c:pt>
                <c:pt idx="2">
                  <c:v>84.4</c:v>
                </c:pt>
                <c:pt idx="3">
                  <c:v>87.2</c:v>
                </c:pt>
                <c:pt idx="4">
                  <c:v>89.4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D-4685-8E86-2C1AA39B9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414239"/>
        <c:axId val="1505952815"/>
      </c:scatterChart>
      <c:valAx>
        <c:axId val="150441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5952815"/>
        <c:crosses val="autoZero"/>
        <c:crossBetween val="midCat"/>
      </c:valAx>
      <c:valAx>
        <c:axId val="15059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41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yVal>
            <c:numRef>
              <c:f>'Лабораторная работа 2'!$H$4:$H$8</c:f>
              <c:numCache>
                <c:formatCode>General</c:formatCode>
                <c:ptCount val="5"/>
                <c:pt idx="0">
                  <c:v>77.400000000000006</c:v>
                </c:pt>
                <c:pt idx="1">
                  <c:v>81</c:v>
                </c:pt>
                <c:pt idx="2">
                  <c:v>84.8</c:v>
                </c:pt>
                <c:pt idx="3">
                  <c:v>86.8</c:v>
                </c:pt>
                <c:pt idx="4">
                  <c:v>90.6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03-43AD-A993-A0AFEE738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414239"/>
        <c:axId val="1505952815"/>
      </c:scatterChart>
      <c:valAx>
        <c:axId val="150441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5952815"/>
        <c:crosses val="autoZero"/>
        <c:crossBetween val="midCat"/>
      </c:valAx>
      <c:valAx>
        <c:axId val="15059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41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yVal>
            <c:numRef>
              <c:f>'Лабораторная работа 2'!$C$18:$G$18</c:f>
              <c:numCache>
                <c:formatCode>General</c:formatCode>
                <c:ptCount val="5"/>
                <c:pt idx="0">
                  <c:v>74.400000000000006</c:v>
                </c:pt>
                <c:pt idx="1">
                  <c:v>78.8</c:v>
                </c:pt>
                <c:pt idx="2">
                  <c:v>84.4</c:v>
                </c:pt>
                <c:pt idx="3">
                  <c:v>89.2</c:v>
                </c:pt>
                <c:pt idx="4">
                  <c:v>93.8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18-4ADD-BBE1-1D8E81954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414239"/>
        <c:axId val="1505952815"/>
      </c:scatterChart>
      <c:valAx>
        <c:axId val="150441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5952815"/>
        <c:crosses val="autoZero"/>
        <c:crossBetween val="midCat"/>
      </c:valAx>
      <c:valAx>
        <c:axId val="15059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41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yVal>
            <c:numRef>
              <c:f>'Лабораторная работа 2'!$H$13:$H$17</c:f>
              <c:numCache>
                <c:formatCode>General</c:formatCode>
                <c:ptCount val="5"/>
                <c:pt idx="0">
                  <c:v>50</c:v>
                </c:pt>
                <c:pt idx="1">
                  <c:v>67.2</c:v>
                </c:pt>
                <c:pt idx="2">
                  <c:v>84.2</c:v>
                </c:pt>
                <c:pt idx="3">
                  <c:v>101</c:v>
                </c:pt>
                <c:pt idx="4">
                  <c:v>118.2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A7-467F-9715-56B1AEDD8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414239"/>
        <c:axId val="1505952815"/>
      </c:scatterChart>
      <c:valAx>
        <c:axId val="150441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5952815"/>
        <c:crosses val="autoZero"/>
        <c:crossBetween val="midCat"/>
      </c:valAx>
      <c:valAx>
        <c:axId val="15059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41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24713</xdr:colOff>
      <xdr:row>9</xdr:row>
      <xdr:rowOff>36203</xdr:rowOff>
    </xdr:from>
    <xdr:to>
      <xdr:col>13</xdr:col>
      <xdr:colOff>790575</xdr:colOff>
      <xdr:row>17</xdr:row>
      <xdr:rowOff>151184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FAFBB939-E7D2-6B13-B7B8-F3F5BAD10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21400</xdr:colOff>
      <xdr:row>9</xdr:row>
      <xdr:rowOff>32016</xdr:rowOff>
    </xdr:from>
    <xdr:to>
      <xdr:col>17</xdr:col>
      <xdr:colOff>781050</xdr:colOff>
      <xdr:row>17</xdr:row>
      <xdr:rowOff>155371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61202290-7C9B-4FE3-86DD-20B7BA754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30077</xdr:colOff>
      <xdr:row>9</xdr:row>
      <xdr:rowOff>33001</xdr:rowOff>
    </xdr:from>
    <xdr:to>
      <xdr:col>21</xdr:col>
      <xdr:colOff>752475</xdr:colOff>
      <xdr:row>17</xdr:row>
      <xdr:rowOff>154386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917385B0-0C80-4D92-8747-939C45184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30080</xdr:colOff>
      <xdr:row>9</xdr:row>
      <xdr:rowOff>39404</xdr:rowOff>
    </xdr:from>
    <xdr:to>
      <xdr:col>25</xdr:col>
      <xdr:colOff>723901</xdr:colOff>
      <xdr:row>17</xdr:row>
      <xdr:rowOff>147982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70AE9890-4798-402E-B638-722722BF6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5"/>
  <sheetViews>
    <sheetView zoomScale="90" zoomScaleNormal="90" workbookViewId="0">
      <selection activeCell="AD28" sqref="AD28"/>
    </sheetView>
  </sheetViews>
  <sheetFormatPr defaultRowHeight="15" x14ac:dyDescent="0.25"/>
  <cols>
    <col min="1" max="29" width="5.7109375" customWidth="1"/>
    <col min="30" max="33" width="15.7109375" customWidth="1"/>
  </cols>
  <sheetData>
    <row r="1" spans="1:34" ht="15" customHeight="1" thickBot="1" x14ac:dyDescent="0.35">
      <c r="A1" s="40"/>
      <c r="B1" s="40"/>
      <c r="C1" s="40"/>
      <c r="D1" s="40">
        <v>1</v>
      </c>
      <c r="E1" s="40">
        <v>1</v>
      </c>
      <c r="F1" s="40">
        <v>1</v>
      </c>
      <c r="G1" s="40">
        <v>1</v>
      </c>
      <c r="H1" s="40">
        <v>1</v>
      </c>
      <c r="I1" s="40">
        <v>2</v>
      </c>
      <c r="J1" s="40">
        <v>2</v>
      </c>
      <c r="K1" s="40">
        <v>2</v>
      </c>
      <c r="L1" s="40">
        <v>2</v>
      </c>
      <c r="M1" s="40">
        <v>2</v>
      </c>
      <c r="N1" s="40">
        <v>3</v>
      </c>
      <c r="O1" s="40">
        <v>3</v>
      </c>
      <c r="P1" s="40">
        <v>3</v>
      </c>
      <c r="Q1" s="40">
        <v>3</v>
      </c>
      <c r="R1" s="40">
        <v>3</v>
      </c>
      <c r="S1" s="40">
        <v>4</v>
      </c>
      <c r="T1" s="40">
        <v>4</v>
      </c>
      <c r="U1" s="40">
        <v>4</v>
      </c>
      <c r="V1" s="40">
        <v>4</v>
      </c>
      <c r="W1" s="40">
        <v>4</v>
      </c>
      <c r="X1" s="40">
        <v>5</v>
      </c>
      <c r="Y1" s="40">
        <v>5</v>
      </c>
      <c r="Z1" s="40">
        <v>5</v>
      </c>
      <c r="AA1" s="40">
        <v>5</v>
      </c>
      <c r="AB1" s="40">
        <v>5</v>
      </c>
      <c r="AC1" s="22"/>
      <c r="AD1" s="1"/>
      <c r="AE1" s="1"/>
      <c r="AF1" s="1"/>
      <c r="AG1" s="1"/>
      <c r="AH1" s="1"/>
    </row>
    <row r="2" spans="1:34" ht="15" customHeight="1" thickBot="1" x14ac:dyDescent="0.35">
      <c r="A2" s="40"/>
      <c r="B2" s="143"/>
      <c r="C2" s="144"/>
      <c r="D2" s="137">
        <v>1</v>
      </c>
      <c r="E2" s="138"/>
      <c r="F2" s="138"/>
      <c r="G2" s="138"/>
      <c r="H2" s="139"/>
      <c r="I2" s="137">
        <v>2</v>
      </c>
      <c r="J2" s="138"/>
      <c r="K2" s="138"/>
      <c r="L2" s="138"/>
      <c r="M2" s="139"/>
      <c r="N2" s="137">
        <v>3</v>
      </c>
      <c r="O2" s="138"/>
      <c r="P2" s="138"/>
      <c r="Q2" s="138"/>
      <c r="R2" s="139"/>
      <c r="S2" s="137">
        <v>4</v>
      </c>
      <c r="T2" s="138"/>
      <c r="U2" s="138"/>
      <c r="V2" s="138"/>
      <c r="W2" s="139"/>
      <c r="X2" s="137">
        <v>5</v>
      </c>
      <c r="Y2" s="138"/>
      <c r="Z2" s="138"/>
      <c r="AA2" s="138"/>
      <c r="AB2" s="139"/>
      <c r="AC2" s="22"/>
      <c r="AD2" s="5" t="s">
        <v>0</v>
      </c>
      <c r="AE2" s="6" t="s">
        <v>1</v>
      </c>
      <c r="AF2" s="6" t="s">
        <v>2</v>
      </c>
      <c r="AG2" s="7" t="s">
        <v>3</v>
      </c>
      <c r="AH2" s="1"/>
    </row>
    <row r="3" spans="1:34" ht="15" customHeight="1" thickBot="1" x14ac:dyDescent="0.35">
      <c r="A3" s="40"/>
      <c r="B3" s="145"/>
      <c r="C3" s="146"/>
      <c r="D3" s="46">
        <v>1</v>
      </c>
      <c r="E3" s="41">
        <v>2</v>
      </c>
      <c r="F3" s="41">
        <v>3</v>
      </c>
      <c r="G3" s="41">
        <v>4</v>
      </c>
      <c r="H3" s="42">
        <v>5</v>
      </c>
      <c r="I3" s="46">
        <v>1</v>
      </c>
      <c r="J3" s="41">
        <v>2</v>
      </c>
      <c r="K3" s="41">
        <v>3</v>
      </c>
      <c r="L3" s="41">
        <v>4</v>
      </c>
      <c r="M3" s="42">
        <v>5</v>
      </c>
      <c r="N3" s="46">
        <v>1</v>
      </c>
      <c r="O3" s="41">
        <v>2</v>
      </c>
      <c r="P3" s="41">
        <v>3</v>
      </c>
      <c r="Q3" s="41">
        <v>4</v>
      </c>
      <c r="R3" s="42">
        <v>5</v>
      </c>
      <c r="S3" s="46">
        <v>1</v>
      </c>
      <c r="T3" s="41">
        <v>2</v>
      </c>
      <c r="U3" s="41">
        <v>3</v>
      </c>
      <c r="V3" s="41">
        <v>4</v>
      </c>
      <c r="W3" s="42">
        <v>5</v>
      </c>
      <c r="X3" s="46">
        <v>1</v>
      </c>
      <c r="Y3" s="41">
        <v>2</v>
      </c>
      <c r="Z3" s="41">
        <v>3</v>
      </c>
      <c r="AA3" s="41">
        <v>4</v>
      </c>
      <c r="AB3" s="42">
        <v>5</v>
      </c>
      <c r="AC3" s="22"/>
      <c r="AD3" s="36">
        <f>QUOTIENT(LEN(AD5),2)</f>
        <v>3</v>
      </c>
      <c r="AE3" s="37">
        <f>QUOTIENT(LEN(AE5),2)</f>
        <v>3</v>
      </c>
      <c r="AF3" s="37">
        <f>AF5-6</f>
        <v>5</v>
      </c>
      <c r="AG3" s="38">
        <f>AG5-7</f>
        <v>17</v>
      </c>
      <c r="AH3" s="1"/>
    </row>
    <row r="4" spans="1:34" ht="15" customHeight="1" x14ac:dyDescent="0.3">
      <c r="A4" s="40">
        <v>1</v>
      </c>
      <c r="B4" s="140">
        <v>1</v>
      </c>
      <c r="C4" s="43">
        <v>1</v>
      </c>
      <c r="D4" s="8"/>
      <c r="E4" s="9"/>
      <c r="F4" s="10">
        <f ca="1">RANDBETWEEN($AD$3*F$1+$AE$3*F$3+$AF$3*$A4+$AG$3*$C4-1, $AD$3*F$1+$AE$3*F$3+$AF$3*$A4+$AG$3*$C4+1)</f>
        <v>35</v>
      </c>
      <c r="G4" s="9"/>
      <c r="H4" s="11"/>
      <c r="I4" s="8"/>
      <c r="J4" s="9"/>
      <c r="K4" s="9"/>
      <c r="L4" s="9"/>
      <c r="M4" s="11"/>
      <c r="N4" s="8"/>
      <c r="O4" s="9"/>
      <c r="P4" s="9"/>
      <c r="Q4" s="9"/>
      <c r="R4" s="11"/>
      <c r="S4" s="8"/>
      <c r="T4" s="9"/>
      <c r="U4" s="9"/>
      <c r="V4" s="9"/>
      <c r="W4" s="11"/>
      <c r="X4" s="8"/>
      <c r="Y4" s="9"/>
      <c r="Z4" s="9"/>
      <c r="AA4" s="9"/>
      <c r="AB4" s="11"/>
      <c r="AC4" s="22"/>
      <c r="AD4" s="28" t="s">
        <v>6</v>
      </c>
      <c r="AE4" s="29" t="s">
        <v>7</v>
      </c>
      <c r="AF4" s="29" t="s">
        <v>8</v>
      </c>
      <c r="AG4" s="30" t="s">
        <v>9</v>
      </c>
      <c r="AH4" s="1"/>
    </row>
    <row r="5" spans="1:34" ht="15" customHeight="1" thickBot="1" x14ac:dyDescent="0.35">
      <c r="A5" s="40">
        <v>1</v>
      </c>
      <c r="B5" s="141"/>
      <c r="C5" s="44">
        <v>2</v>
      </c>
      <c r="D5" s="12"/>
      <c r="E5" s="13"/>
      <c r="F5" s="13"/>
      <c r="G5" s="13"/>
      <c r="H5" s="2"/>
      <c r="I5" s="12"/>
      <c r="J5" s="13"/>
      <c r="K5" s="13"/>
      <c r="L5" s="13"/>
      <c r="M5" s="2"/>
      <c r="N5" s="12"/>
      <c r="O5" s="13"/>
      <c r="P5" s="13"/>
      <c r="Q5" s="13"/>
      <c r="R5" s="2"/>
      <c r="S5" s="12"/>
      <c r="T5" s="13"/>
      <c r="U5" s="13"/>
      <c r="V5" s="13"/>
      <c r="W5" s="2"/>
      <c r="X5" s="12"/>
      <c r="Y5" s="14">
        <f ca="1">RANDBETWEEN($AD$3*Y$1+$AE$3*Y$3+$AF$3*$A5+$AG$3*$C5-1, $AD$3*Y$1+$AE$3*Y$3+$AF$3*$A5+$AG$3*$C5+1)</f>
        <v>60</v>
      </c>
      <c r="Z5" s="13"/>
      <c r="AA5" s="13"/>
      <c r="AB5" s="2"/>
      <c r="AC5" s="22"/>
      <c r="AD5" s="33" t="s">
        <v>4</v>
      </c>
      <c r="AE5" s="34" t="s">
        <v>5</v>
      </c>
      <c r="AF5" s="34">
        <v>11</v>
      </c>
      <c r="AG5" s="35">
        <v>24</v>
      </c>
      <c r="AH5" s="1"/>
    </row>
    <row r="6" spans="1:34" ht="15" customHeight="1" thickBot="1" x14ac:dyDescent="0.35">
      <c r="A6" s="40">
        <v>1</v>
      </c>
      <c r="B6" s="141"/>
      <c r="C6" s="44">
        <v>3</v>
      </c>
      <c r="D6" s="12"/>
      <c r="E6" s="13"/>
      <c r="F6" s="13"/>
      <c r="G6" s="13"/>
      <c r="H6" s="2"/>
      <c r="I6" s="12"/>
      <c r="J6" s="13"/>
      <c r="K6" s="13"/>
      <c r="L6" s="13"/>
      <c r="M6" s="2"/>
      <c r="N6" s="12"/>
      <c r="O6" s="13"/>
      <c r="P6" s="13"/>
      <c r="Q6" s="13"/>
      <c r="R6" s="2"/>
      <c r="S6" s="15">
        <f ca="1">RANDBETWEEN($AD$3*S$1+$AE$3*S$3+$AF$3*$A6+$AG$3*$C6-1, $AD$3*S$1+$AE$3*S$3+$AF$3*$A6+$AG$3*$C6+1)</f>
        <v>71</v>
      </c>
      <c r="T6" s="13"/>
      <c r="U6" s="13"/>
      <c r="V6" s="13"/>
      <c r="W6" s="2"/>
      <c r="X6" s="12"/>
      <c r="Y6" s="13"/>
      <c r="Z6" s="13"/>
      <c r="AA6" s="13"/>
      <c r="AB6" s="2"/>
      <c r="AC6" s="22"/>
      <c r="AD6" s="1"/>
      <c r="AE6" s="1"/>
      <c r="AF6" s="1"/>
      <c r="AG6" s="1"/>
      <c r="AH6" s="1"/>
    </row>
    <row r="7" spans="1:34" ht="15" customHeight="1" thickBot="1" x14ac:dyDescent="0.35">
      <c r="A7" s="40">
        <v>1</v>
      </c>
      <c r="B7" s="141"/>
      <c r="C7" s="44">
        <v>4</v>
      </c>
      <c r="D7" s="12"/>
      <c r="E7" s="13"/>
      <c r="F7" s="13"/>
      <c r="G7" s="13"/>
      <c r="H7" s="2"/>
      <c r="I7" s="12"/>
      <c r="J7" s="13"/>
      <c r="K7" s="13"/>
      <c r="L7" s="13"/>
      <c r="M7" s="16">
        <f ca="1">RANDBETWEEN($AD$3*M$1+$AE$3*M$3+$AF$3*$A7+$AG$3*$C7-1, $AD$3*M$1+$AE$3*M$3+$AF$3*$A7+$AG$3*$C7+1)</f>
        <v>94</v>
      </c>
      <c r="N7" s="12"/>
      <c r="O7" s="13"/>
      <c r="P7" s="13"/>
      <c r="Q7" s="13"/>
      <c r="R7" s="2"/>
      <c r="S7" s="12"/>
      <c r="T7" s="13"/>
      <c r="U7" s="13"/>
      <c r="V7" s="13"/>
      <c r="W7" s="2"/>
      <c r="X7" s="12"/>
      <c r="Y7" s="13"/>
      <c r="Z7" s="13"/>
      <c r="AA7" s="13"/>
      <c r="AB7" s="2"/>
      <c r="AC7" s="22"/>
      <c r="AD7" s="131" t="s">
        <v>10</v>
      </c>
      <c r="AE7" s="132"/>
      <c r="AF7" s="132"/>
      <c r="AG7" s="133"/>
      <c r="AH7" s="1"/>
    </row>
    <row r="8" spans="1:34" ht="15" customHeight="1" thickBot="1" x14ac:dyDescent="0.35">
      <c r="A8" s="40">
        <v>1</v>
      </c>
      <c r="B8" s="142"/>
      <c r="C8" s="45">
        <v>5</v>
      </c>
      <c r="D8" s="17"/>
      <c r="E8" s="4"/>
      <c r="F8" s="4"/>
      <c r="G8" s="4"/>
      <c r="H8" s="3"/>
      <c r="I8" s="17"/>
      <c r="J8" s="4"/>
      <c r="K8" s="4"/>
      <c r="L8" s="4"/>
      <c r="M8" s="3"/>
      <c r="N8" s="17"/>
      <c r="O8" s="4"/>
      <c r="P8" s="4"/>
      <c r="Q8" s="18">
        <f ca="1">RANDBETWEEN($AD$3*Q$1+$AE$3*Q$3+$AF$3*$A8+$AG$3*$C8-1, $AD$3*Q$1+$AE$3*Q$3+$AF$3*$A8+$AG$3*$C8+1)</f>
        <v>112</v>
      </c>
      <c r="R8" s="3"/>
      <c r="S8" s="17"/>
      <c r="T8" s="4"/>
      <c r="U8" s="4"/>
      <c r="V8" s="4"/>
      <c r="W8" s="3"/>
      <c r="X8" s="17"/>
      <c r="Y8" s="4"/>
      <c r="Z8" s="4"/>
      <c r="AA8" s="4"/>
      <c r="AB8" s="3"/>
      <c r="AC8" s="22"/>
      <c r="AD8" s="5" t="s">
        <v>11</v>
      </c>
      <c r="AE8" s="6" t="s">
        <v>12</v>
      </c>
      <c r="AF8" s="6" t="s">
        <v>13</v>
      </c>
      <c r="AG8" s="7" t="s">
        <v>14</v>
      </c>
      <c r="AH8" s="1"/>
    </row>
    <row r="9" spans="1:34" ht="15" customHeight="1" thickBot="1" x14ac:dyDescent="0.35">
      <c r="A9" s="40">
        <v>2</v>
      </c>
      <c r="B9" s="140">
        <v>2</v>
      </c>
      <c r="C9" s="43">
        <v>1</v>
      </c>
      <c r="D9" s="8"/>
      <c r="E9" s="9"/>
      <c r="F9" s="9"/>
      <c r="G9" s="9"/>
      <c r="H9" s="11"/>
      <c r="I9" s="8"/>
      <c r="J9" s="9"/>
      <c r="K9" s="9"/>
      <c r="L9" s="9"/>
      <c r="M9" s="11"/>
      <c r="N9" s="8"/>
      <c r="O9" s="9"/>
      <c r="P9" s="9"/>
      <c r="Q9" s="9"/>
      <c r="R9" s="19">
        <f ca="1">RANDBETWEEN($AD$3*R$1+$AE$3*R$3+$AF$3*$A9+$AG$3*$C9-1, $AD$3*R$1+$AE$3*R$3+$AF$3*$A9+$AG$3*$C9+1)</f>
        <v>52</v>
      </c>
      <c r="S9" s="8"/>
      <c r="T9" s="9"/>
      <c r="U9" s="9"/>
      <c r="V9" s="9"/>
      <c r="W9" s="11"/>
      <c r="X9" s="8"/>
      <c r="Y9" s="9"/>
      <c r="Z9" s="9"/>
      <c r="AA9" s="9"/>
      <c r="AB9" s="11"/>
      <c r="AC9" s="22"/>
      <c r="AD9" s="23">
        <v>1</v>
      </c>
      <c r="AE9" s="24">
        <v>3</v>
      </c>
      <c r="AF9" s="24">
        <v>1</v>
      </c>
      <c r="AG9" s="25">
        <v>1</v>
      </c>
      <c r="AH9" s="1"/>
    </row>
    <row r="10" spans="1:34" ht="15" customHeight="1" thickBot="1" x14ac:dyDescent="0.35">
      <c r="A10" s="40">
        <v>2</v>
      </c>
      <c r="B10" s="141"/>
      <c r="C10" s="44">
        <v>2</v>
      </c>
      <c r="D10" s="12"/>
      <c r="E10" s="13"/>
      <c r="F10" s="13"/>
      <c r="G10" s="14">
        <f ca="1">RANDBETWEEN($AD$3*G$1+$AE$3*G$3+$AF$3*$A10+$AG$3*$C10-1, $AD$3*G$1+$AE$3*G$3+$AF$3*$A10+$AG$3*$C10+1)</f>
        <v>58</v>
      </c>
      <c r="H10" s="2"/>
      <c r="I10" s="12"/>
      <c r="J10" s="13"/>
      <c r="K10" s="13"/>
      <c r="L10" s="13"/>
      <c r="M10" s="2"/>
      <c r="N10" s="12"/>
      <c r="O10" s="13"/>
      <c r="P10" s="13"/>
      <c r="Q10" s="13"/>
      <c r="R10" s="2"/>
      <c r="S10" s="12"/>
      <c r="T10" s="13"/>
      <c r="U10" s="13"/>
      <c r="V10" s="13"/>
      <c r="W10" s="2"/>
      <c r="X10" s="12"/>
      <c r="Y10" s="13"/>
      <c r="Z10" s="13"/>
      <c r="AA10" s="13"/>
      <c r="AB10" s="2"/>
      <c r="AC10" s="22"/>
      <c r="AD10" s="131" t="s">
        <v>15</v>
      </c>
      <c r="AE10" s="132"/>
      <c r="AF10" s="132"/>
      <c r="AG10" s="133"/>
      <c r="AH10" s="1"/>
    </row>
    <row r="11" spans="1:34" ht="15" customHeight="1" thickBot="1" x14ac:dyDescent="0.35">
      <c r="A11" s="40">
        <v>2</v>
      </c>
      <c r="B11" s="141"/>
      <c r="C11" s="44">
        <v>3</v>
      </c>
      <c r="D11" s="12"/>
      <c r="E11" s="13"/>
      <c r="F11" s="13"/>
      <c r="G11" s="13"/>
      <c r="H11" s="2"/>
      <c r="I11" s="12"/>
      <c r="J11" s="13"/>
      <c r="K11" s="13"/>
      <c r="L11" s="13"/>
      <c r="M11" s="2"/>
      <c r="N11" s="12"/>
      <c r="O11" s="13"/>
      <c r="P11" s="13"/>
      <c r="Q11" s="13"/>
      <c r="R11" s="2"/>
      <c r="S11" s="12"/>
      <c r="T11" s="13"/>
      <c r="U11" s="13"/>
      <c r="V11" s="13"/>
      <c r="W11" s="2"/>
      <c r="X11" s="12"/>
      <c r="Y11" s="13"/>
      <c r="Z11" s="14">
        <f ca="1">RANDBETWEEN($AD$3*Z$1+$AE$3*Z$3+$AF$3*$A11+$AG$3*$C11-1, $AD$3*Z$1+$AE$3*Z$3+$AF$3*$A11+$AG$3*$C11+1)</f>
        <v>85</v>
      </c>
      <c r="AA11" s="13"/>
      <c r="AB11" s="2"/>
      <c r="AC11" s="22"/>
      <c r="AD11" s="134">
        <f>AD3*AD9+AE3*AE9+AF3*AF9+AG3*AG9</f>
        <v>34</v>
      </c>
      <c r="AE11" s="135"/>
      <c r="AF11" s="135"/>
      <c r="AG11" s="136"/>
      <c r="AH11" s="1"/>
    </row>
    <row r="12" spans="1:34" ht="15" customHeight="1" x14ac:dyDescent="0.3">
      <c r="A12" s="40">
        <v>2</v>
      </c>
      <c r="B12" s="141"/>
      <c r="C12" s="44">
        <v>4</v>
      </c>
      <c r="D12" s="12"/>
      <c r="E12" s="13"/>
      <c r="F12" s="13"/>
      <c r="G12" s="13"/>
      <c r="H12" s="2"/>
      <c r="I12" s="12"/>
      <c r="J12" s="13"/>
      <c r="K12" s="13"/>
      <c r="L12" s="13"/>
      <c r="M12" s="2"/>
      <c r="N12" s="12"/>
      <c r="O12" s="13"/>
      <c r="P12" s="13"/>
      <c r="Q12" s="13"/>
      <c r="R12" s="2"/>
      <c r="S12" s="12"/>
      <c r="T12" s="14">
        <f ca="1">RANDBETWEEN($AD$3*T$1+$AE$3*T$3+$AF$3*$A12+$AG$3*$C12-1, $AD$3*T$1+$AE$3*T$3+$AF$3*$A12+$AG$3*$C12+1)</f>
        <v>97</v>
      </c>
      <c r="U12" s="13"/>
      <c r="V12" s="13"/>
      <c r="W12" s="2"/>
      <c r="X12" s="12"/>
      <c r="Y12" s="13"/>
      <c r="Z12" s="13"/>
      <c r="AA12" s="13"/>
      <c r="AB12" s="2"/>
      <c r="AC12" s="22"/>
      <c r="AD12" s="1"/>
      <c r="AE12" s="1"/>
      <c r="AF12" s="1"/>
      <c r="AG12" s="1"/>
      <c r="AH12" s="1"/>
    </row>
    <row r="13" spans="1:34" ht="15" customHeight="1" thickBot="1" x14ac:dyDescent="0.35">
      <c r="A13" s="40">
        <v>2</v>
      </c>
      <c r="B13" s="142"/>
      <c r="C13" s="45">
        <v>5</v>
      </c>
      <c r="D13" s="17"/>
      <c r="E13" s="4"/>
      <c r="F13" s="4"/>
      <c r="G13" s="4"/>
      <c r="H13" s="3"/>
      <c r="I13" s="20">
        <f ca="1">RANDBETWEEN($AD$3*I$1+$AE$3*I$3+$AF$3*$A13+$AG$3*$C13-1, $AD$3*I$1+$AE$3*I$3+$AF$3*$A13+$AG$3*$C13+1)</f>
        <v>104</v>
      </c>
      <c r="J13" s="4"/>
      <c r="K13" s="4"/>
      <c r="L13" s="4"/>
      <c r="M13" s="3"/>
      <c r="N13" s="17"/>
      <c r="O13" s="4"/>
      <c r="P13" s="4"/>
      <c r="Q13" s="4"/>
      <c r="R13" s="3"/>
      <c r="S13" s="17"/>
      <c r="T13" s="4"/>
      <c r="U13" s="4"/>
      <c r="V13" s="4"/>
      <c r="W13" s="3"/>
      <c r="X13" s="17"/>
      <c r="Y13" s="4"/>
      <c r="Z13" s="4"/>
      <c r="AA13" s="4"/>
      <c r="AB13" s="3"/>
      <c r="AC13" s="22"/>
      <c r="AD13" s="1"/>
      <c r="AE13" s="1"/>
      <c r="AF13" s="1"/>
      <c r="AG13" s="1"/>
      <c r="AH13" s="1"/>
    </row>
    <row r="14" spans="1:34" ht="15" customHeight="1" x14ac:dyDescent="0.3">
      <c r="A14" s="40">
        <v>3</v>
      </c>
      <c r="B14" s="140">
        <v>3</v>
      </c>
      <c r="C14" s="43">
        <v>1</v>
      </c>
      <c r="D14" s="8"/>
      <c r="E14" s="9"/>
      <c r="F14" s="9"/>
      <c r="G14" s="9"/>
      <c r="H14" s="11"/>
      <c r="I14" s="8"/>
      <c r="J14" s="10">
        <f ca="1">RANDBETWEEN($AD$3*J$1+$AE$3*J$3+$AF$3*$A14+$AG$3*$C14-1, $AD$3*J$1+$AE$3*J$3+$AF$3*$A14+$AG$3*$C14+1)</f>
        <v>45</v>
      </c>
      <c r="K14" s="9"/>
      <c r="L14" s="9"/>
      <c r="M14" s="11"/>
      <c r="N14" s="8"/>
      <c r="O14" s="9"/>
      <c r="P14" s="9"/>
      <c r="Q14" s="9"/>
      <c r="R14" s="11"/>
      <c r="S14" s="8"/>
      <c r="T14" s="9"/>
      <c r="U14" s="9"/>
      <c r="V14" s="9"/>
      <c r="W14" s="11"/>
      <c r="X14" s="8"/>
      <c r="Y14" s="9"/>
      <c r="Z14" s="9"/>
      <c r="AA14" s="9"/>
      <c r="AB14" s="11"/>
      <c r="AC14" s="22"/>
      <c r="AD14" s="1"/>
      <c r="AE14" s="1"/>
      <c r="AF14" s="1"/>
      <c r="AG14" s="1"/>
      <c r="AH14" s="1"/>
    </row>
    <row r="15" spans="1:34" ht="15" customHeight="1" x14ac:dyDescent="0.3">
      <c r="A15" s="40">
        <v>3</v>
      </c>
      <c r="B15" s="141"/>
      <c r="C15" s="44">
        <v>2</v>
      </c>
      <c r="D15" s="12"/>
      <c r="E15" s="13"/>
      <c r="F15" s="13"/>
      <c r="G15" s="13"/>
      <c r="H15" s="2"/>
      <c r="I15" s="12"/>
      <c r="J15" s="13"/>
      <c r="K15" s="13"/>
      <c r="L15" s="13"/>
      <c r="M15" s="2"/>
      <c r="N15" s="15">
        <f ca="1">RANDBETWEEN($AD$3*N$1+$AE$3*N$3+$AF$3*$A15+$AG$3*$C15-1, $AD$3*N$1+$AE$3*N$3+$AF$3*$A15+$AG$3*$C15+1)</f>
        <v>60</v>
      </c>
      <c r="O15" s="13"/>
      <c r="P15" s="13"/>
      <c r="Q15" s="13"/>
      <c r="R15" s="2"/>
      <c r="S15" s="12"/>
      <c r="T15" s="13"/>
      <c r="U15" s="13"/>
      <c r="V15" s="13"/>
      <c r="W15" s="2"/>
      <c r="X15" s="12"/>
      <c r="Y15" s="13"/>
      <c r="Z15" s="13"/>
      <c r="AA15" s="13"/>
      <c r="AB15" s="2"/>
      <c r="AC15" s="22"/>
      <c r="AD15" s="1"/>
      <c r="AE15" s="1"/>
      <c r="AF15" s="1"/>
      <c r="AG15" s="1"/>
      <c r="AH15" s="1"/>
    </row>
    <row r="16" spans="1:34" ht="15" customHeight="1" x14ac:dyDescent="0.3">
      <c r="A16" s="40">
        <v>3</v>
      </c>
      <c r="B16" s="141"/>
      <c r="C16" s="44">
        <v>3</v>
      </c>
      <c r="D16" s="12"/>
      <c r="E16" s="13"/>
      <c r="F16" s="13"/>
      <c r="G16" s="13"/>
      <c r="H16" s="16">
        <f ca="1">RANDBETWEEN($AD$3*H$1+$AE$3*H$3+$AF$3*$A16+$AG$3*$C16-1, $AD$3*H$1+$AE$3*H$3+$AF$3*$A16+$AG$3*$C16+1)</f>
        <v>85</v>
      </c>
      <c r="I16" s="12"/>
      <c r="J16" s="13"/>
      <c r="K16" s="13"/>
      <c r="L16" s="13"/>
      <c r="M16" s="2"/>
      <c r="N16" s="12"/>
      <c r="O16" s="13"/>
      <c r="P16" s="13"/>
      <c r="Q16" s="13"/>
      <c r="R16" s="2"/>
      <c r="S16" s="12"/>
      <c r="T16" s="13"/>
      <c r="U16" s="13"/>
      <c r="V16" s="13"/>
      <c r="W16" s="2"/>
      <c r="X16" s="12"/>
      <c r="Y16" s="13"/>
      <c r="Z16" s="13"/>
      <c r="AA16" s="13"/>
      <c r="AB16" s="2"/>
      <c r="AC16" s="22"/>
      <c r="AD16" s="1"/>
      <c r="AE16" s="1"/>
      <c r="AF16" s="1"/>
      <c r="AG16" s="1"/>
      <c r="AH16" s="1"/>
    </row>
    <row r="17" spans="1:34" ht="15" customHeight="1" x14ac:dyDescent="0.3">
      <c r="A17" s="40">
        <v>3</v>
      </c>
      <c r="B17" s="141"/>
      <c r="C17" s="44">
        <v>4</v>
      </c>
      <c r="D17" s="12"/>
      <c r="E17" s="13"/>
      <c r="F17" s="13"/>
      <c r="G17" s="13"/>
      <c r="H17" s="2"/>
      <c r="I17" s="12"/>
      <c r="J17" s="13"/>
      <c r="K17" s="13"/>
      <c r="L17" s="13"/>
      <c r="M17" s="2"/>
      <c r="N17" s="12"/>
      <c r="O17" s="13"/>
      <c r="P17" s="13"/>
      <c r="Q17" s="13"/>
      <c r="R17" s="2"/>
      <c r="S17" s="12"/>
      <c r="T17" s="13"/>
      <c r="U17" s="13"/>
      <c r="V17" s="13"/>
      <c r="W17" s="2"/>
      <c r="X17" s="12"/>
      <c r="Y17" s="13"/>
      <c r="Z17" s="13"/>
      <c r="AA17" s="14">
        <f ca="1">RANDBETWEEN($AD$3*AA$1+$AE$3*AA$3+$AF$3*$A17+$AG$3*$C17-1, $AD$3*AA$1+$AE$3*AA$3+$AF$3*$A17+$AG$3*$C17+1)</f>
        <v>111</v>
      </c>
      <c r="AB17" s="2"/>
      <c r="AC17" s="22"/>
      <c r="AD17" s="1"/>
      <c r="AE17" s="1"/>
      <c r="AF17" s="1"/>
      <c r="AG17" s="1"/>
      <c r="AH17" s="1"/>
    </row>
    <row r="18" spans="1:34" ht="15" customHeight="1" thickBot="1" x14ac:dyDescent="0.35">
      <c r="A18" s="40">
        <v>3</v>
      </c>
      <c r="B18" s="142"/>
      <c r="C18" s="45">
        <v>5</v>
      </c>
      <c r="D18" s="17"/>
      <c r="E18" s="4"/>
      <c r="F18" s="4"/>
      <c r="G18" s="4"/>
      <c r="H18" s="3"/>
      <c r="I18" s="17"/>
      <c r="J18" s="4"/>
      <c r="K18" s="4"/>
      <c r="L18" s="4"/>
      <c r="M18" s="3"/>
      <c r="N18" s="17"/>
      <c r="O18" s="4"/>
      <c r="P18" s="4"/>
      <c r="Q18" s="4"/>
      <c r="R18" s="3"/>
      <c r="S18" s="17"/>
      <c r="T18" s="4"/>
      <c r="U18" s="18">
        <f ca="1">RANDBETWEEN($AD$3*U$1+$AE$3*U$3+$AF$3*$A18+$AG$3*$C18-1, $AD$3*U$1+$AE$3*U$3+$AF$3*$A18+$AG$3*$C18+1)</f>
        <v>122</v>
      </c>
      <c r="V18" s="4"/>
      <c r="W18" s="3"/>
      <c r="X18" s="17"/>
      <c r="Y18" s="4"/>
      <c r="Z18" s="4"/>
      <c r="AA18" s="4"/>
      <c r="AB18" s="3"/>
      <c r="AC18" s="22"/>
      <c r="AD18" s="1"/>
      <c r="AE18" s="1"/>
      <c r="AF18" s="1"/>
      <c r="AG18" s="1"/>
      <c r="AH18" s="1"/>
    </row>
    <row r="19" spans="1:34" ht="15" customHeight="1" x14ac:dyDescent="0.3">
      <c r="A19" s="40">
        <v>4</v>
      </c>
      <c r="B19" s="140">
        <v>4</v>
      </c>
      <c r="C19" s="43">
        <v>1</v>
      </c>
      <c r="D19" s="8"/>
      <c r="E19" s="9"/>
      <c r="F19" s="9"/>
      <c r="G19" s="9"/>
      <c r="H19" s="11"/>
      <c r="I19" s="8"/>
      <c r="J19" s="9"/>
      <c r="K19" s="9"/>
      <c r="L19" s="9"/>
      <c r="M19" s="11"/>
      <c r="N19" s="8"/>
      <c r="O19" s="9"/>
      <c r="P19" s="9"/>
      <c r="Q19" s="9"/>
      <c r="R19" s="11"/>
      <c r="S19" s="8"/>
      <c r="T19" s="9"/>
      <c r="U19" s="9"/>
      <c r="V19" s="9"/>
      <c r="W19" s="11"/>
      <c r="X19" s="39">
        <f ca="1">RANDBETWEEN($AD$3*X$1+$AE$3*X$3+$AF$3*$A19+$AG$3*$C19-1, $AD$3*X$1+$AE$3*X$3+$AF$3*$A19+$AG$3*$C19+1)</f>
        <v>56</v>
      </c>
      <c r="Y19" s="9"/>
      <c r="Z19" s="9"/>
      <c r="AA19" s="9"/>
      <c r="AB19" s="11"/>
      <c r="AC19" s="22"/>
      <c r="AD19" s="1"/>
      <c r="AE19" s="1"/>
      <c r="AF19" s="1"/>
      <c r="AG19" s="1"/>
      <c r="AH19" s="1"/>
    </row>
    <row r="20" spans="1:34" ht="15" customHeight="1" x14ac:dyDescent="0.3">
      <c r="A20" s="40">
        <v>4</v>
      </c>
      <c r="B20" s="141"/>
      <c r="C20" s="44">
        <v>2</v>
      </c>
      <c r="D20" s="12"/>
      <c r="E20" s="13"/>
      <c r="F20" s="13"/>
      <c r="G20" s="13"/>
      <c r="H20" s="2"/>
      <c r="I20" s="12"/>
      <c r="J20" s="13"/>
      <c r="K20" s="13"/>
      <c r="L20" s="13"/>
      <c r="M20" s="2"/>
      <c r="N20" s="12"/>
      <c r="O20" s="13"/>
      <c r="P20" s="13"/>
      <c r="Q20" s="13"/>
      <c r="R20" s="2"/>
      <c r="S20" s="12"/>
      <c r="T20" s="13"/>
      <c r="U20" s="13"/>
      <c r="V20" s="13"/>
      <c r="W20" s="16">
        <f ca="1">RANDBETWEEN($AD$3*W$1+$AE$3*W$3+$AF$3*$A20+$AG$3*$C20-1, $AD$3*W$1+$AE$3*W$3+$AF$3*$A20+$AG$3*$C20+1)</f>
        <v>80</v>
      </c>
      <c r="X20" s="12"/>
      <c r="Y20" s="13"/>
      <c r="Z20" s="13"/>
      <c r="AA20" s="13"/>
      <c r="AB20" s="2"/>
      <c r="AC20" s="22"/>
      <c r="AD20" s="1"/>
      <c r="AE20" s="1"/>
      <c r="AF20" s="1"/>
      <c r="AG20" s="1"/>
      <c r="AH20" s="1"/>
    </row>
    <row r="21" spans="1:34" ht="15" customHeight="1" x14ac:dyDescent="0.3">
      <c r="A21" s="40">
        <v>4</v>
      </c>
      <c r="B21" s="141"/>
      <c r="C21" s="44">
        <v>3</v>
      </c>
      <c r="D21" s="12"/>
      <c r="E21" s="13"/>
      <c r="F21" s="13"/>
      <c r="G21" s="13"/>
      <c r="H21" s="2"/>
      <c r="I21" s="12"/>
      <c r="J21" s="13"/>
      <c r="K21" s="13"/>
      <c r="L21" s="14">
        <f ca="1">RANDBETWEEN($AD$3*L$1+$AE$3*L$3+$AF$3*$A21+$AG$3*$C21-1, $AD$3*L$1+$AE$3*L$3+$AF$3*$A21+$AG$3*$C21+1)</f>
        <v>90</v>
      </c>
      <c r="M21" s="2"/>
      <c r="N21" s="12"/>
      <c r="O21" s="13"/>
      <c r="P21" s="13"/>
      <c r="Q21" s="13"/>
      <c r="R21" s="2"/>
      <c r="S21" s="12"/>
      <c r="T21" s="13"/>
      <c r="U21" s="13"/>
      <c r="V21" s="13"/>
      <c r="W21" s="2"/>
      <c r="X21" s="12"/>
      <c r="Y21" s="13"/>
      <c r="Z21" s="13"/>
      <c r="AA21" s="13"/>
      <c r="AB21" s="2"/>
      <c r="AC21" s="22"/>
      <c r="AD21" s="1"/>
      <c r="AE21" s="1"/>
      <c r="AF21" s="1"/>
      <c r="AG21" s="1"/>
      <c r="AH21" s="1"/>
    </row>
    <row r="22" spans="1:34" ht="15" customHeight="1" x14ac:dyDescent="0.3">
      <c r="A22" s="40">
        <v>4</v>
      </c>
      <c r="B22" s="141"/>
      <c r="C22" s="44">
        <v>4</v>
      </c>
      <c r="D22" s="12"/>
      <c r="E22" s="13"/>
      <c r="F22" s="13"/>
      <c r="G22" s="13"/>
      <c r="H22" s="2"/>
      <c r="I22" s="12"/>
      <c r="J22" s="13"/>
      <c r="K22" s="13"/>
      <c r="L22" s="13"/>
      <c r="M22" s="2"/>
      <c r="N22" s="12"/>
      <c r="O22" s="13"/>
      <c r="P22" s="14">
        <f ca="1">RANDBETWEEN($AD$3*P$1+$AE$3*P$3+$AF$3*$A22+$AG$3*$C22-1, $AD$3*P$1+$AE$3*P$3+$AF$3*$A22+$AG$3*$C22+1)</f>
        <v>105</v>
      </c>
      <c r="Q22" s="13"/>
      <c r="R22" s="2"/>
      <c r="S22" s="12"/>
      <c r="T22" s="13"/>
      <c r="U22" s="13"/>
      <c r="V22" s="13"/>
      <c r="W22" s="2"/>
      <c r="X22" s="12"/>
      <c r="Y22" s="13"/>
      <c r="Z22" s="13"/>
      <c r="AA22" s="13"/>
      <c r="AB22" s="2"/>
      <c r="AC22" s="22"/>
      <c r="AD22" s="1"/>
      <c r="AE22" s="1"/>
      <c r="AF22" s="1"/>
      <c r="AG22" s="1"/>
      <c r="AH22" s="1"/>
    </row>
    <row r="23" spans="1:34" ht="15" customHeight="1" thickBot="1" x14ac:dyDescent="0.35">
      <c r="A23" s="40">
        <v>4</v>
      </c>
      <c r="B23" s="142"/>
      <c r="C23" s="45">
        <v>5</v>
      </c>
      <c r="D23" s="17"/>
      <c r="E23" s="18">
        <f ca="1">RANDBETWEEN($AD$3*E$1+$AE$3*E$3+$AF$3*$A23+$AG$3*$C23-1, $AD$3*E$1+$AE$3*E$3+$AF$3*$A23+$AG$3*$C23+1)</f>
        <v>113</v>
      </c>
      <c r="F23" s="4"/>
      <c r="G23" s="4"/>
      <c r="H23" s="3"/>
      <c r="I23" s="17"/>
      <c r="J23" s="4"/>
      <c r="K23" s="4"/>
      <c r="L23" s="4"/>
      <c r="M23" s="3"/>
      <c r="N23" s="17"/>
      <c r="O23" s="4"/>
      <c r="P23" s="4"/>
      <c r="Q23" s="4"/>
      <c r="R23" s="3"/>
      <c r="S23" s="17"/>
      <c r="T23" s="4"/>
      <c r="U23" s="4"/>
      <c r="V23" s="4"/>
      <c r="W23" s="3"/>
      <c r="X23" s="17"/>
      <c r="Y23" s="4"/>
      <c r="Z23" s="4"/>
      <c r="AA23" s="4"/>
      <c r="AB23" s="3"/>
      <c r="AC23" s="22"/>
      <c r="AD23" s="1"/>
      <c r="AE23" s="1"/>
      <c r="AF23" s="1"/>
      <c r="AG23" s="1"/>
      <c r="AH23" s="1"/>
    </row>
    <row r="24" spans="1:34" ht="15" customHeight="1" x14ac:dyDescent="0.3">
      <c r="A24" s="40">
        <v>5</v>
      </c>
      <c r="B24" s="140">
        <v>5</v>
      </c>
      <c r="C24" s="43">
        <v>1</v>
      </c>
      <c r="D24" s="8"/>
      <c r="E24" s="9"/>
      <c r="F24" s="9"/>
      <c r="G24" s="9"/>
      <c r="H24" s="11"/>
      <c r="I24" s="8"/>
      <c r="J24" s="9"/>
      <c r="K24" s="9"/>
      <c r="L24" s="9"/>
      <c r="M24" s="11"/>
      <c r="N24" s="8"/>
      <c r="O24" s="9"/>
      <c r="P24" s="9"/>
      <c r="Q24" s="9"/>
      <c r="R24" s="11"/>
      <c r="S24" s="8"/>
      <c r="T24" s="9"/>
      <c r="U24" s="9"/>
      <c r="V24" s="10">
        <f ca="1">RANDBETWEEN($AD$3*V$1+$AE$3*V$3+$AF$3*$A24+$AG$3*$C24-1, $AD$3*V$1+$AE$3*V$3+$AF$3*$A24+$AG$3*$C24+1)</f>
        <v>67</v>
      </c>
      <c r="W24" s="11"/>
      <c r="X24" s="8"/>
      <c r="Y24" s="9"/>
      <c r="Z24" s="9"/>
      <c r="AA24" s="9"/>
      <c r="AB24" s="11"/>
      <c r="AC24" s="22"/>
      <c r="AD24" s="1"/>
      <c r="AE24" s="1"/>
      <c r="AF24" s="1"/>
      <c r="AG24" s="1"/>
      <c r="AH24" s="1"/>
    </row>
    <row r="25" spans="1:34" ht="15" customHeight="1" x14ac:dyDescent="0.3">
      <c r="A25" s="40">
        <v>5</v>
      </c>
      <c r="B25" s="141"/>
      <c r="C25" s="44">
        <v>2</v>
      </c>
      <c r="D25" s="12"/>
      <c r="E25" s="13"/>
      <c r="F25" s="13"/>
      <c r="G25" s="13"/>
      <c r="H25" s="2"/>
      <c r="I25" s="12"/>
      <c r="J25" s="13"/>
      <c r="K25" s="14">
        <f ca="1">RANDBETWEEN($AD$3*K$1+$AE$3*K$3+$AF$3*$A25+$AG$3*$C25-1, $AD$3*K$1+$AE$3*K$3+$AF$3*$A25+$AG$3*$C25+1)</f>
        <v>75</v>
      </c>
      <c r="L25" s="13"/>
      <c r="M25" s="2"/>
      <c r="N25" s="12"/>
      <c r="O25" s="13"/>
      <c r="P25" s="13"/>
      <c r="Q25" s="13"/>
      <c r="R25" s="2"/>
      <c r="S25" s="12"/>
      <c r="T25" s="13"/>
      <c r="U25" s="13"/>
      <c r="V25" s="13"/>
      <c r="W25" s="2"/>
      <c r="X25" s="12"/>
      <c r="Y25" s="13"/>
      <c r="Z25" s="13"/>
      <c r="AA25" s="13"/>
      <c r="AB25" s="2"/>
      <c r="AC25" s="22"/>
      <c r="AD25" s="1"/>
      <c r="AE25" s="1"/>
      <c r="AF25" s="1"/>
      <c r="AG25" s="1"/>
      <c r="AH25" s="1"/>
    </row>
    <row r="26" spans="1:34" ht="15" customHeight="1" x14ac:dyDescent="0.3">
      <c r="A26" s="40">
        <v>5</v>
      </c>
      <c r="B26" s="141"/>
      <c r="C26" s="44">
        <v>3</v>
      </c>
      <c r="D26" s="12"/>
      <c r="E26" s="13"/>
      <c r="F26" s="13"/>
      <c r="G26" s="13"/>
      <c r="H26" s="2"/>
      <c r="I26" s="12"/>
      <c r="J26" s="13"/>
      <c r="K26" s="13"/>
      <c r="L26" s="13"/>
      <c r="M26" s="2"/>
      <c r="N26" s="12"/>
      <c r="O26" s="14">
        <f ca="1">RANDBETWEEN($AD$3*O$1+$AE$3*O$3+$AF$3*$A26+$AG$3*$C26-1, $AD$3*O$1+$AE$3*O$3+$AF$3*$A26+$AG$3*$C26+1)</f>
        <v>91</v>
      </c>
      <c r="P26" s="13"/>
      <c r="Q26" s="13"/>
      <c r="R26" s="2"/>
      <c r="S26" s="12"/>
      <c r="T26" s="13"/>
      <c r="U26" s="13"/>
      <c r="V26" s="13"/>
      <c r="W26" s="2"/>
      <c r="X26" s="12"/>
      <c r="Y26" s="13"/>
      <c r="Z26" s="13"/>
      <c r="AA26" s="13"/>
      <c r="AB26" s="2"/>
      <c r="AC26" s="22"/>
      <c r="AD26" s="1"/>
      <c r="AE26" s="1"/>
      <c r="AF26" s="1"/>
      <c r="AG26" s="1"/>
      <c r="AH26" s="1"/>
    </row>
    <row r="27" spans="1:34" ht="15" customHeight="1" x14ac:dyDescent="0.3">
      <c r="A27" s="40">
        <v>5</v>
      </c>
      <c r="B27" s="141"/>
      <c r="C27" s="44">
        <v>4</v>
      </c>
      <c r="D27" s="15">
        <f ca="1">RANDBETWEEN($AD$3*D$1+$AE$3*D$3+$AF$3*$A27+$AG$3*$C27-1, $AD$3*D$1+$AE$3*D$3+$AF$3*$A27+$AG$3*$C27+1)</f>
        <v>100</v>
      </c>
      <c r="E27" s="13"/>
      <c r="F27" s="13"/>
      <c r="G27" s="13"/>
      <c r="H27" s="2"/>
      <c r="I27" s="12"/>
      <c r="J27" s="13"/>
      <c r="K27" s="13"/>
      <c r="L27" s="13"/>
      <c r="M27" s="2"/>
      <c r="N27" s="12"/>
      <c r="O27" s="13"/>
      <c r="P27" s="13"/>
      <c r="Q27" s="13"/>
      <c r="R27" s="2"/>
      <c r="S27" s="12"/>
      <c r="T27" s="13"/>
      <c r="U27" s="13"/>
      <c r="V27" s="13"/>
      <c r="W27" s="2"/>
      <c r="X27" s="12"/>
      <c r="Y27" s="13"/>
      <c r="Z27" s="13"/>
      <c r="AA27" s="13"/>
      <c r="AB27" s="2"/>
      <c r="AC27" s="22"/>
      <c r="AD27" s="1"/>
      <c r="AE27" s="1"/>
      <c r="AF27" s="1"/>
      <c r="AG27" s="1"/>
      <c r="AH27" s="1"/>
    </row>
    <row r="28" spans="1:34" ht="15" customHeight="1" thickBot="1" x14ac:dyDescent="0.35">
      <c r="A28" s="40">
        <v>5</v>
      </c>
      <c r="B28" s="142"/>
      <c r="C28" s="45">
        <v>5</v>
      </c>
      <c r="D28" s="17"/>
      <c r="E28" s="4"/>
      <c r="F28" s="4"/>
      <c r="G28" s="4"/>
      <c r="H28" s="3"/>
      <c r="I28" s="17"/>
      <c r="J28" s="4"/>
      <c r="K28" s="4"/>
      <c r="L28" s="4"/>
      <c r="M28" s="3"/>
      <c r="N28" s="17"/>
      <c r="O28" s="4"/>
      <c r="P28" s="4"/>
      <c r="Q28" s="4"/>
      <c r="R28" s="3"/>
      <c r="S28" s="17"/>
      <c r="T28" s="4"/>
      <c r="U28" s="4"/>
      <c r="V28" s="4"/>
      <c r="W28" s="3"/>
      <c r="X28" s="17"/>
      <c r="Y28" s="4"/>
      <c r="Z28" s="4"/>
      <c r="AA28" s="4"/>
      <c r="AB28" s="21">
        <f ca="1">RANDBETWEEN($AD$3*AB$1+$AE$3*AB$3+$AF$3*$A28+$AG$3*$C28-1, $AD$3*AB$1+$AE$3*AB$3+$AF$3*$A28+$AG$3*$C28+1)</f>
        <v>139</v>
      </c>
      <c r="AC28" s="22"/>
      <c r="AD28" s="1"/>
      <c r="AE28" s="1"/>
      <c r="AF28" s="1"/>
      <c r="AG28" s="1"/>
      <c r="AH28" s="1"/>
    </row>
    <row r="29" spans="1:34" ht="15" customHeight="1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1"/>
      <c r="AE29" s="1"/>
      <c r="AF29" s="1"/>
      <c r="AG29" s="1"/>
      <c r="AH29" s="1"/>
    </row>
    <row r="30" spans="1:34" ht="15" customHeight="1" x14ac:dyDescent="0.3">
      <c r="A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1"/>
      <c r="AE30" s="1"/>
      <c r="AF30" s="1"/>
      <c r="AG30" s="1"/>
      <c r="AH30" s="1"/>
    </row>
    <row r="31" spans="1:34" ht="15" customHeight="1" x14ac:dyDescent="0.3">
      <c r="A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6"/>
      <c r="W31" s="22"/>
      <c r="X31" s="22"/>
      <c r="Y31" s="22"/>
      <c r="Z31" s="22"/>
      <c r="AA31" s="22"/>
      <c r="AB31" s="22"/>
      <c r="AC31" s="22"/>
      <c r="AD31" s="1"/>
      <c r="AE31" s="1"/>
      <c r="AF31" s="1"/>
      <c r="AG31" s="1"/>
      <c r="AH31" s="1"/>
    </row>
    <row r="32" spans="1:34" ht="1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8.7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8.7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8.7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</sheetData>
  <mergeCells count="14">
    <mergeCell ref="B9:B13"/>
    <mergeCell ref="B14:B18"/>
    <mergeCell ref="B19:B23"/>
    <mergeCell ref="B24:B28"/>
    <mergeCell ref="B2:C3"/>
    <mergeCell ref="B4:B8"/>
    <mergeCell ref="AD7:AG7"/>
    <mergeCell ref="AD10:AG10"/>
    <mergeCell ref="AD11:AG11"/>
    <mergeCell ref="D2:H2"/>
    <mergeCell ref="I2:M2"/>
    <mergeCell ref="N2:R2"/>
    <mergeCell ref="S2:W2"/>
    <mergeCell ref="X2:A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1057-AAB1-4951-B7B7-77079BEBB88C}">
  <dimension ref="B1:AB30"/>
  <sheetViews>
    <sheetView zoomScale="90" zoomScaleNormal="90" workbookViewId="0">
      <selection activeCell="AD28" sqref="AD28"/>
    </sheetView>
  </sheetViews>
  <sheetFormatPr defaultRowHeight="15" x14ac:dyDescent="0.25"/>
  <cols>
    <col min="1" max="29" width="5.7109375" customWidth="1"/>
  </cols>
  <sheetData>
    <row r="1" spans="2:28" ht="15" customHeight="1" thickBot="1" x14ac:dyDescent="0.3"/>
    <row r="2" spans="2:28" ht="15" customHeight="1" thickBot="1" x14ac:dyDescent="0.3">
      <c r="B2" s="150"/>
      <c r="C2" s="151"/>
      <c r="D2" s="131">
        <v>1</v>
      </c>
      <c r="E2" s="132"/>
      <c r="F2" s="132"/>
      <c r="G2" s="132"/>
      <c r="H2" s="133"/>
      <c r="I2" s="131">
        <v>2</v>
      </c>
      <c r="J2" s="132"/>
      <c r="K2" s="132"/>
      <c r="L2" s="132"/>
      <c r="M2" s="133"/>
      <c r="N2" s="131">
        <v>3</v>
      </c>
      <c r="O2" s="132"/>
      <c r="P2" s="132"/>
      <c r="Q2" s="132"/>
      <c r="R2" s="133"/>
      <c r="S2" s="131">
        <v>4</v>
      </c>
      <c r="T2" s="132"/>
      <c r="U2" s="132"/>
      <c r="V2" s="132"/>
      <c r="W2" s="133"/>
      <c r="X2" s="131">
        <v>5</v>
      </c>
      <c r="Y2" s="132"/>
      <c r="Z2" s="132"/>
      <c r="AA2" s="132"/>
      <c r="AB2" s="133"/>
    </row>
    <row r="3" spans="2:28" ht="15" customHeight="1" thickBot="1" x14ac:dyDescent="0.3">
      <c r="B3" s="152"/>
      <c r="C3" s="153"/>
      <c r="D3" s="59">
        <v>1</v>
      </c>
      <c r="E3" s="51">
        <v>2</v>
      </c>
      <c r="F3" s="51">
        <v>3</v>
      </c>
      <c r="G3" s="51">
        <v>4</v>
      </c>
      <c r="H3" s="52">
        <v>5</v>
      </c>
      <c r="I3" s="59">
        <v>1</v>
      </c>
      <c r="J3" s="51">
        <v>2</v>
      </c>
      <c r="K3" s="51">
        <v>3</v>
      </c>
      <c r="L3" s="51">
        <v>4</v>
      </c>
      <c r="M3" s="52">
        <v>5</v>
      </c>
      <c r="N3" s="59">
        <v>1</v>
      </c>
      <c r="O3" s="51">
        <v>2</v>
      </c>
      <c r="P3" s="51">
        <v>3</v>
      </c>
      <c r="Q3" s="51">
        <v>4</v>
      </c>
      <c r="R3" s="52">
        <v>5</v>
      </c>
      <c r="S3" s="59">
        <v>1</v>
      </c>
      <c r="T3" s="51">
        <v>2</v>
      </c>
      <c r="U3" s="51">
        <v>3</v>
      </c>
      <c r="V3" s="51">
        <v>4</v>
      </c>
      <c r="W3" s="52">
        <v>5</v>
      </c>
      <c r="X3" s="59">
        <v>1</v>
      </c>
      <c r="Y3" s="51">
        <v>2</v>
      </c>
      <c r="Z3" s="51">
        <v>3</v>
      </c>
      <c r="AA3" s="51">
        <v>4</v>
      </c>
      <c r="AB3" s="52">
        <v>5</v>
      </c>
    </row>
    <row r="4" spans="2:28" ht="15" customHeight="1" x14ac:dyDescent="0.25">
      <c r="B4" s="147">
        <v>1</v>
      </c>
      <c r="C4" s="56">
        <v>1</v>
      </c>
      <c r="D4" s="48"/>
      <c r="E4" s="49"/>
      <c r="F4" s="53">
        <v>35</v>
      </c>
      <c r="G4" s="49"/>
      <c r="H4" s="54"/>
      <c r="I4" s="48"/>
      <c r="J4" s="49"/>
      <c r="K4" s="49"/>
      <c r="L4" s="49"/>
      <c r="M4" s="54"/>
      <c r="N4" s="48"/>
      <c r="O4" s="49"/>
      <c r="P4" s="49"/>
      <c r="Q4" s="49"/>
      <c r="R4" s="54"/>
      <c r="S4" s="48"/>
      <c r="T4" s="49"/>
      <c r="U4" s="49"/>
      <c r="V4" s="49"/>
      <c r="W4" s="54"/>
      <c r="X4" s="48"/>
      <c r="Y4" s="49"/>
      <c r="Z4" s="49"/>
      <c r="AA4" s="49"/>
      <c r="AB4" s="54"/>
    </row>
    <row r="5" spans="2:28" ht="15" customHeight="1" x14ac:dyDescent="0.25">
      <c r="B5" s="148"/>
      <c r="C5" s="57">
        <v>2</v>
      </c>
      <c r="D5" s="31"/>
      <c r="E5" s="27"/>
      <c r="F5" s="27"/>
      <c r="G5" s="27"/>
      <c r="H5" s="32"/>
      <c r="I5" s="31"/>
      <c r="J5" s="27"/>
      <c r="K5" s="27"/>
      <c r="L5" s="27"/>
      <c r="M5" s="32"/>
      <c r="N5" s="31"/>
      <c r="O5" s="27"/>
      <c r="P5" s="27"/>
      <c r="Q5" s="27"/>
      <c r="R5" s="32"/>
      <c r="S5" s="31"/>
      <c r="T5" s="27"/>
      <c r="U5" s="27"/>
      <c r="V5" s="27"/>
      <c r="W5" s="32"/>
      <c r="X5" s="31"/>
      <c r="Y5" s="47">
        <v>59</v>
      </c>
      <c r="Z5" s="27"/>
      <c r="AA5" s="27"/>
      <c r="AB5" s="32"/>
    </row>
    <row r="6" spans="2:28" ht="15" customHeight="1" x14ac:dyDescent="0.25">
      <c r="B6" s="148"/>
      <c r="C6" s="57">
        <v>3</v>
      </c>
      <c r="D6" s="31"/>
      <c r="E6" s="27"/>
      <c r="F6" s="27"/>
      <c r="G6" s="27"/>
      <c r="H6" s="32"/>
      <c r="I6" s="31"/>
      <c r="J6" s="27"/>
      <c r="K6" s="27"/>
      <c r="L6" s="27"/>
      <c r="M6" s="32"/>
      <c r="N6" s="31"/>
      <c r="O6" s="27"/>
      <c r="P6" s="27"/>
      <c r="Q6" s="27"/>
      <c r="R6" s="32"/>
      <c r="S6" s="61">
        <v>71</v>
      </c>
      <c r="T6" s="27"/>
      <c r="U6" s="27"/>
      <c r="V6" s="27"/>
      <c r="W6" s="32"/>
      <c r="X6" s="31"/>
      <c r="Y6" s="27"/>
      <c r="Z6" s="27"/>
      <c r="AA6" s="27"/>
      <c r="AB6" s="32"/>
    </row>
    <row r="7" spans="2:28" ht="15" customHeight="1" x14ac:dyDescent="0.25">
      <c r="B7" s="148"/>
      <c r="C7" s="57">
        <v>4</v>
      </c>
      <c r="D7" s="31"/>
      <c r="E7" s="27"/>
      <c r="F7" s="27"/>
      <c r="G7" s="27"/>
      <c r="H7" s="32"/>
      <c r="I7" s="31"/>
      <c r="J7" s="27"/>
      <c r="K7" s="27"/>
      <c r="L7" s="27"/>
      <c r="M7" s="60">
        <v>95</v>
      </c>
      <c r="N7" s="31"/>
      <c r="O7" s="27"/>
      <c r="P7" s="27"/>
      <c r="Q7" s="27"/>
      <c r="R7" s="32"/>
      <c r="S7" s="31"/>
      <c r="T7" s="27"/>
      <c r="U7" s="27"/>
      <c r="V7" s="27"/>
      <c r="W7" s="32"/>
      <c r="X7" s="31"/>
      <c r="Y7" s="27"/>
      <c r="Z7" s="27"/>
      <c r="AA7" s="27"/>
      <c r="AB7" s="32"/>
    </row>
    <row r="8" spans="2:28" ht="15" customHeight="1" thickBot="1" x14ac:dyDescent="0.3">
      <c r="B8" s="149"/>
      <c r="C8" s="58">
        <v>5</v>
      </c>
      <c r="D8" s="33"/>
      <c r="E8" s="34"/>
      <c r="F8" s="34"/>
      <c r="G8" s="34"/>
      <c r="H8" s="35"/>
      <c r="I8" s="33"/>
      <c r="J8" s="34"/>
      <c r="K8" s="34"/>
      <c r="L8" s="34"/>
      <c r="M8" s="35"/>
      <c r="N8" s="33"/>
      <c r="O8" s="34"/>
      <c r="P8" s="34"/>
      <c r="Q8" s="55">
        <v>112</v>
      </c>
      <c r="R8" s="35"/>
      <c r="S8" s="33"/>
      <c r="T8" s="34"/>
      <c r="U8" s="34"/>
      <c r="V8" s="34"/>
      <c r="W8" s="35"/>
      <c r="X8" s="33"/>
      <c r="Y8" s="34"/>
      <c r="Z8" s="34"/>
      <c r="AA8" s="34"/>
      <c r="AB8" s="35"/>
    </row>
    <row r="9" spans="2:28" ht="15" customHeight="1" x14ac:dyDescent="0.25">
      <c r="B9" s="147">
        <v>2</v>
      </c>
      <c r="C9" s="56">
        <v>1</v>
      </c>
      <c r="D9" s="48"/>
      <c r="E9" s="49"/>
      <c r="F9" s="49"/>
      <c r="G9" s="49"/>
      <c r="H9" s="54"/>
      <c r="I9" s="48"/>
      <c r="J9" s="49"/>
      <c r="K9" s="49"/>
      <c r="L9" s="49"/>
      <c r="M9" s="54"/>
      <c r="N9" s="48"/>
      <c r="O9" s="49"/>
      <c r="P9" s="49"/>
      <c r="Q9" s="49"/>
      <c r="R9" s="63">
        <v>51</v>
      </c>
      <c r="S9" s="48"/>
      <c r="T9" s="49"/>
      <c r="U9" s="49"/>
      <c r="V9" s="49"/>
      <c r="W9" s="54"/>
      <c r="X9" s="48"/>
      <c r="Y9" s="49"/>
      <c r="Z9" s="49"/>
      <c r="AA9" s="49"/>
      <c r="AB9" s="54"/>
    </row>
    <row r="10" spans="2:28" ht="15" customHeight="1" x14ac:dyDescent="0.25">
      <c r="B10" s="148"/>
      <c r="C10" s="57">
        <v>2</v>
      </c>
      <c r="D10" s="31"/>
      <c r="E10" s="27"/>
      <c r="F10" s="27"/>
      <c r="G10" s="47">
        <v>59</v>
      </c>
      <c r="H10" s="32"/>
      <c r="I10" s="31"/>
      <c r="J10" s="27"/>
      <c r="K10" s="27"/>
      <c r="L10" s="27"/>
      <c r="M10" s="32"/>
      <c r="N10" s="31"/>
      <c r="O10" s="27"/>
      <c r="P10" s="27"/>
      <c r="Q10" s="27"/>
      <c r="R10" s="32"/>
      <c r="S10" s="31"/>
      <c r="T10" s="27"/>
      <c r="U10" s="27"/>
      <c r="V10" s="27"/>
      <c r="W10" s="32"/>
      <c r="X10" s="31"/>
      <c r="Y10" s="27"/>
      <c r="Z10" s="27"/>
      <c r="AA10" s="27"/>
      <c r="AB10" s="32"/>
    </row>
    <row r="11" spans="2:28" ht="15" customHeight="1" x14ac:dyDescent="0.25">
      <c r="B11" s="148"/>
      <c r="C11" s="57">
        <v>3</v>
      </c>
      <c r="D11" s="31"/>
      <c r="E11" s="27"/>
      <c r="F11" s="27"/>
      <c r="G11" s="27"/>
      <c r="H11" s="32"/>
      <c r="I11" s="31"/>
      <c r="J11" s="27"/>
      <c r="K11" s="27"/>
      <c r="L11" s="27"/>
      <c r="M11" s="32"/>
      <c r="N11" s="31"/>
      <c r="O11" s="27"/>
      <c r="P11" s="27"/>
      <c r="Q11" s="27"/>
      <c r="R11" s="32"/>
      <c r="S11" s="31"/>
      <c r="T11" s="27"/>
      <c r="U11" s="27"/>
      <c r="V11" s="27"/>
      <c r="W11" s="32"/>
      <c r="X11" s="31"/>
      <c r="Y11" s="27"/>
      <c r="Z11" s="47">
        <v>85</v>
      </c>
      <c r="AA11" s="27"/>
      <c r="AB11" s="32"/>
    </row>
    <row r="12" spans="2:28" ht="15" customHeight="1" x14ac:dyDescent="0.25">
      <c r="B12" s="148"/>
      <c r="C12" s="57">
        <v>4</v>
      </c>
      <c r="D12" s="31"/>
      <c r="E12" s="27"/>
      <c r="F12" s="27"/>
      <c r="G12" s="27"/>
      <c r="H12" s="32"/>
      <c r="I12" s="31"/>
      <c r="J12" s="27"/>
      <c r="K12" s="27"/>
      <c r="L12" s="27"/>
      <c r="M12" s="32"/>
      <c r="N12" s="31"/>
      <c r="O12" s="27"/>
      <c r="P12" s="27"/>
      <c r="Q12" s="27"/>
      <c r="R12" s="32"/>
      <c r="S12" s="31"/>
      <c r="T12" s="47">
        <v>96</v>
      </c>
      <c r="U12" s="27"/>
      <c r="V12" s="27"/>
      <c r="W12" s="32"/>
      <c r="X12" s="31"/>
      <c r="Y12" s="27"/>
      <c r="Z12" s="27"/>
      <c r="AA12" s="27"/>
      <c r="AB12" s="32"/>
    </row>
    <row r="13" spans="2:28" ht="15" customHeight="1" thickBot="1" x14ac:dyDescent="0.3">
      <c r="B13" s="149"/>
      <c r="C13" s="58">
        <v>5</v>
      </c>
      <c r="D13" s="33"/>
      <c r="E13" s="34"/>
      <c r="F13" s="34"/>
      <c r="G13" s="34"/>
      <c r="H13" s="35"/>
      <c r="I13" s="62">
        <v>103</v>
      </c>
      <c r="J13" s="34"/>
      <c r="K13" s="34"/>
      <c r="L13" s="34"/>
      <c r="M13" s="35"/>
      <c r="N13" s="33"/>
      <c r="O13" s="34"/>
      <c r="P13" s="34"/>
      <c r="Q13" s="34"/>
      <c r="R13" s="35"/>
      <c r="S13" s="33"/>
      <c r="T13" s="34"/>
      <c r="U13" s="34"/>
      <c r="V13" s="34"/>
      <c r="W13" s="35"/>
      <c r="X13" s="33"/>
      <c r="Y13" s="34"/>
      <c r="Z13" s="34"/>
      <c r="AA13" s="34"/>
      <c r="AB13" s="35"/>
    </row>
    <row r="14" spans="2:28" ht="15" customHeight="1" x14ac:dyDescent="0.25">
      <c r="B14" s="147">
        <v>3</v>
      </c>
      <c r="C14" s="56">
        <v>1</v>
      </c>
      <c r="D14" s="48"/>
      <c r="E14" s="49"/>
      <c r="F14" s="49"/>
      <c r="G14" s="49"/>
      <c r="H14" s="54"/>
      <c r="I14" s="48"/>
      <c r="J14" s="53">
        <v>45</v>
      </c>
      <c r="K14" s="49"/>
      <c r="L14" s="49"/>
      <c r="M14" s="54"/>
      <c r="N14" s="48"/>
      <c r="O14" s="49"/>
      <c r="P14" s="49"/>
      <c r="Q14" s="49"/>
      <c r="R14" s="54"/>
      <c r="S14" s="48"/>
      <c r="T14" s="49"/>
      <c r="U14" s="49"/>
      <c r="V14" s="49"/>
      <c r="W14" s="54"/>
      <c r="X14" s="48"/>
      <c r="Y14" s="49"/>
      <c r="Z14" s="49"/>
      <c r="AA14" s="49"/>
      <c r="AB14" s="54"/>
    </row>
    <row r="15" spans="2:28" ht="15" customHeight="1" x14ac:dyDescent="0.25">
      <c r="B15" s="148"/>
      <c r="C15" s="57">
        <v>2</v>
      </c>
      <c r="D15" s="31"/>
      <c r="E15" s="27"/>
      <c r="F15" s="27"/>
      <c r="G15" s="27"/>
      <c r="H15" s="32"/>
      <c r="I15" s="31"/>
      <c r="J15" s="27"/>
      <c r="K15" s="27"/>
      <c r="L15" s="27"/>
      <c r="M15" s="32"/>
      <c r="N15" s="61">
        <v>61</v>
      </c>
      <c r="O15" s="27"/>
      <c r="P15" s="27"/>
      <c r="Q15" s="27"/>
      <c r="R15" s="32"/>
      <c r="S15" s="31"/>
      <c r="T15" s="27"/>
      <c r="U15" s="27"/>
      <c r="V15" s="27"/>
      <c r="W15" s="32"/>
      <c r="X15" s="31"/>
      <c r="Y15" s="27"/>
      <c r="Z15" s="27"/>
      <c r="AA15" s="27"/>
      <c r="AB15" s="32"/>
    </row>
    <row r="16" spans="2:28" ht="15" customHeight="1" x14ac:dyDescent="0.25">
      <c r="B16" s="148"/>
      <c r="C16" s="57">
        <v>3</v>
      </c>
      <c r="D16" s="31"/>
      <c r="E16" s="27"/>
      <c r="F16" s="27"/>
      <c r="G16" s="27"/>
      <c r="H16" s="60">
        <v>85</v>
      </c>
      <c r="I16" s="31"/>
      <c r="J16" s="27"/>
      <c r="K16" s="27"/>
      <c r="L16" s="27"/>
      <c r="M16" s="32"/>
      <c r="N16" s="31"/>
      <c r="O16" s="27"/>
      <c r="P16" s="27"/>
      <c r="Q16" s="27"/>
      <c r="R16" s="32"/>
      <c r="S16" s="31"/>
      <c r="T16" s="27"/>
      <c r="U16" s="27"/>
      <c r="V16" s="27"/>
      <c r="W16" s="32"/>
      <c r="X16" s="31"/>
      <c r="Y16" s="27"/>
      <c r="Z16" s="27"/>
      <c r="AA16" s="27"/>
      <c r="AB16" s="32"/>
    </row>
    <row r="17" spans="2:28" ht="15" customHeight="1" x14ac:dyDescent="0.25">
      <c r="B17" s="148"/>
      <c r="C17" s="57">
        <v>4</v>
      </c>
      <c r="D17" s="31"/>
      <c r="E17" s="27"/>
      <c r="F17" s="27"/>
      <c r="G17" s="27"/>
      <c r="H17" s="32"/>
      <c r="I17" s="31"/>
      <c r="J17" s="27"/>
      <c r="K17" s="27"/>
      <c r="L17" s="27"/>
      <c r="M17" s="32"/>
      <c r="N17" s="31"/>
      <c r="O17" s="27"/>
      <c r="P17" s="27"/>
      <c r="Q17" s="27"/>
      <c r="R17" s="32"/>
      <c r="S17" s="31"/>
      <c r="T17" s="27"/>
      <c r="U17" s="27"/>
      <c r="V17" s="27"/>
      <c r="W17" s="32"/>
      <c r="X17" s="31"/>
      <c r="Y17" s="27"/>
      <c r="Z17" s="27"/>
      <c r="AA17" s="47">
        <v>109</v>
      </c>
      <c r="AB17" s="32"/>
    </row>
    <row r="18" spans="2:28" ht="15" customHeight="1" thickBot="1" x14ac:dyDescent="0.3">
      <c r="B18" s="149"/>
      <c r="C18" s="58">
        <v>5</v>
      </c>
      <c r="D18" s="33"/>
      <c r="E18" s="34"/>
      <c r="F18" s="34"/>
      <c r="G18" s="34"/>
      <c r="H18" s="35"/>
      <c r="I18" s="33"/>
      <c r="J18" s="34"/>
      <c r="K18" s="34"/>
      <c r="L18" s="34"/>
      <c r="M18" s="35"/>
      <c r="N18" s="33"/>
      <c r="O18" s="34"/>
      <c r="P18" s="34"/>
      <c r="Q18" s="34"/>
      <c r="R18" s="35"/>
      <c r="S18" s="33"/>
      <c r="T18" s="34"/>
      <c r="U18" s="55">
        <v>122</v>
      </c>
      <c r="V18" s="34"/>
      <c r="W18" s="35"/>
      <c r="X18" s="33"/>
      <c r="Y18" s="34"/>
      <c r="Z18" s="34"/>
      <c r="AA18" s="34"/>
      <c r="AB18" s="35"/>
    </row>
    <row r="19" spans="2:28" ht="15" customHeight="1" x14ac:dyDescent="0.25">
      <c r="B19" s="147">
        <v>4</v>
      </c>
      <c r="C19" s="56">
        <v>1</v>
      </c>
      <c r="D19" s="48"/>
      <c r="E19" s="49"/>
      <c r="F19" s="49"/>
      <c r="G19" s="49"/>
      <c r="H19" s="54"/>
      <c r="I19" s="48"/>
      <c r="J19" s="49"/>
      <c r="K19" s="49"/>
      <c r="L19" s="49"/>
      <c r="M19" s="54"/>
      <c r="N19" s="48"/>
      <c r="O19" s="49"/>
      <c r="P19" s="49"/>
      <c r="Q19" s="49"/>
      <c r="R19" s="54"/>
      <c r="S19" s="48"/>
      <c r="T19" s="49"/>
      <c r="U19" s="49"/>
      <c r="V19" s="49"/>
      <c r="W19" s="54"/>
      <c r="X19" s="64">
        <v>54</v>
      </c>
      <c r="Y19" s="49"/>
      <c r="Z19" s="49"/>
      <c r="AA19" s="49"/>
      <c r="AB19" s="54"/>
    </row>
    <row r="20" spans="2:28" ht="15" customHeight="1" x14ac:dyDescent="0.25">
      <c r="B20" s="148"/>
      <c r="C20" s="57">
        <v>2</v>
      </c>
      <c r="D20" s="31"/>
      <c r="E20" s="27"/>
      <c r="F20" s="27"/>
      <c r="G20" s="27"/>
      <c r="H20" s="32"/>
      <c r="I20" s="31"/>
      <c r="J20" s="27"/>
      <c r="K20" s="27"/>
      <c r="L20" s="27"/>
      <c r="M20" s="32"/>
      <c r="N20" s="31"/>
      <c r="O20" s="27"/>
      <c r="P20" s="27"/>
      <c r="Q20" s="27"/>
      <c r="R20" s="32"/>
      <c r="S20" s="31"/>
      <c r="T20" s="27"/>
      <c r="U20" s="27"/>
      <c r="V20" s="27"/>
      <c r="W20" s="60">
        <v>82</v>
      </c>
      <c r="X20" s="31"/>
      <c r="Y20" s="27"/>
      <c r="Z20" s="27"/>
      <c r="AA20" s="27"/>
      <c r="AB20" s="32"/>
    </row>
    <row r="21" spans="2:28" ht="15" customHeight="1" x14ac:dyDescent="0.25">
      <c r="B21" s="148"/>
      <c r="C21" s="57">
        <v>3</v>
      </c>
      <c r="D21" s="31"/>
      <c r="E21" s="27"/>
      <c r="F21" s="27"/>
      <c r="G21" s="27"/>
      <c r="H21" s="32"/>
      <c r="I21" s="31"/>
      <c r="J21" s="27"/>
      <c r="K21" s="27"/>
      <c r="L21" s="47">
        <v>89</v>
      </c>
      <c r="M21" s="32"/>
      <c r="N21" s="31"/>
      <c r="O21" s="27"/>
      <c r="P21" s="27"/>
      <c r="Q21" s="27"/>
      <c r="R21" s="32"/>
      <c r="S21" s="31"/>
      <c r="T21" s="27"/>
      <c r="U21" s="27"/>
      <c r="V21" s="27"/>
      <c r="W21" s="32"/>
      <c r="X21" s="31"/>
      <c r="Y21" s="27"/>
      <c r="Z21" s="27"/>
      <c r="AA21" s="27"/>
      <c r="AB21" s="32"/>
    </row>
    <row r="22" spans="2:28" ht="15" customHeight="1" x14ac:dyDescent="0.25">
      <c r="B22" s="148"/>
      <c r="C22" s="57">
        <v>4</v>
      </c>
      <c r="D22" s="31"/>
      <c r="E22" s="27"/>
      <c r="F22" s="27"/>
      <c r="G22" s="27"/>
      <c r="H22" s="32"/>
      <c r="I22" s="31"/>
      <c r="J22" s="27"/>
      <c r="K22" s="27"/>
      <c r="L22" s="27"/>
      <c r="M22" s="32"/>
      <c r="N22" s="31"/>
      <c r="O22" s="27"/>
      <c r="P22" s="47">
        <v>107</v>
      </c>
      <c r="Q22" s="27"/>
      <c r="R22" s="32"/>
      <c r="S22" s="31"/>
      <c r="T22" s="27"/>
      <c r="U22" s="27"/>
      <c r="V22" s="27"/>
      <c r="W22" s="32"/>
      <c r="X22" s="31"/>
      <c r="Y22" s="27"/>
      <c r="Z22" s="27"/>
      <c r="AA22" s="27"/>
      <c r="AB22" s="32"/>
    </row>
    <row r="23" spans="2:28" ht="15" customHeight="1" thickBot="1" x14ac:dyDescent="0.3">
      <c r="B23" s="149"/>
      <c r="C23" s="58">
        <v>5</v>
      </c>
      <c r="D23" s="33"/>
      <c r="E23" s="55">
        <v>114</v>
      </c>
      <c r="F23" s="34"/>
      <c r="G23" s="34"/>
      <c r="H23" s="35"/>
      <c r="I23" s="33"/>
      <c r="J23" s="34"/>
      <c r="K23" s="34"/>
      <c r="L23" s="34"/>
      <c r="M23" s="35"/>
      <c r="N23" s="33"/>
      <c r="O23" s="34"/>
      <c r="P23" s="34"/>
      <c r="Q23" s="34"/>
      <c r="R23" s="35"/>
      <c r="S23" s="33"/>
      <c r="T23" s="34"/>
      <c r="U23" s="34"/>
      <c r="V23" s="34"/>
      <c r="W23" s="35"/>
      <c r="X23" s="33"/>
      <c r="Y23" s="34"/>
      <c r="Z23" s="34"/>
      <c r="AA23" s="34"/>
      <c r="AB23" s="35"/>
    </row>
    <row r="24" spans="2:28" ht="15" customHeight="1" x14ac:dyDescent="0.25">
      <c r="B24" s="147">
        <v>5</v>
      </c>
      <c r="C24" s="56">
        <v>1</v>
      </c>
      <c r="D24" s="48"/>
      <c r="E24" s="49"/>
      <c r="F24" s="49"/>
      <c r="G24" s="49"/>
      <c r="H24" s="54"/>
      <c r="I24" s="48"/>
      <c r="J24" s="49"/>
      <c r="K24" s="49"/>
      <c r="L24" s="49"/>
      <c r="M24" s="54"/>
      <c r="N24" s="48"/>
      <c r="O24" s="49"/>
      <c r="P24" s="49"/>
      <c r="Q24" s="49"/>
      <c r="R24" s="54"/>
      <c r="S24" s="48"/>
      <c r="T24" s="49"/>
      <c r="U24" s="49"/>
      <c r="V24" s="53">
        <v>65</v>
      </c>
      <c r="W24" s="54"/>
      <c r="X24" s="48"/>
      <c r="Y24" s="49"/>
      <c r="Z24" s="49"/>
      <c r="AA24" s="49"/>
      <c r="AB24" s="54"/>
    </row>
    <row r="25" spans="2:28" ht="15" customHeight="1" x14ac:dyDescent="0.25">
      <c r="B25" s="148"/>
      <c r="C25" s="57">
        <v>2</v>
      </c>
      <c r="D25" s="31"/>
      <c r="E25" s="27"/>
      <c r="F25" s="27"/>
      <c r="G25" s="27"/>
      <c r="H25" s="32"/>
      <c r="I25" s="31"/>
      <c r="J25" s="27"/>
      <c r="K25" s="47">
        <v>75</v>
      </c>
      <c r="L25" s="27"/>
      <c r="M25" s="32"/>
      <c r="N25" s="31"/>
      <c r="O25" s="27"/>
      <c r="P25" s="27"/>
      <c r="Q25" s="27"/>
      <c r="R25" s="32"/>
      <c r="S25" s="31"/>
      <c r="T25" s="27"/>
      <c r="U25" s="27"/>
      <c r="V25" s="27"/>
      <c r="W25" s="32"/>
      <c r="X25" s="31"/>
      <c r="Y25" s="27"/>
      <c r="Z25" s="27"/>
      <c r="AA25" s="27"/>
      <c r="AB25" s="32"/>
    </row>
    <row r="26" spans="2:28" ht="15" customHeight="1" x14ac:dyDescent="0.25">
      <c r="B26" s="148"/>
      <c r="C26" s="57">
        <v>3</v>
      </c>
      <c r="D26" s="31"/>
      <c r="E26" s="27"/>
      <c r="F26" s="27"/>
      <c r="G26" s="27"/>
      <c r="H26" s="32"/>
      <c r="I26" s="31"/>
      <c r="J26" s="27"/>
      <c r="K26" s="27"/>
      <c r="L26" s="27"/>
      <c r="M26" s="32"/>
      <c r="N26" s="31"/>
      <c r="O26" s="47">
        <v>91</v>
      </c>
      <c r="P26" s="27"/>
      <c r="Q26" s="27"/>
      <c r="R26" s="32"/>
      <c r="S26" s="31"/>
      <c r="T26" s="27"/>
      <c r="U26" s="27"/>
      <c r="V26" s="27"/>
      <c r="W26" s="32"/>
      <c r="X26" s="31"/>
      <c r="Y26" s="27"/>
      <c r="Z26" s="27"/>
      <c r="AA26" s="27"/>
      <c r="AB26" s="32"/>
    </row>
    <row r="27" spans="2:28" ht="15" customHeight="1" x14ac:dyDescent="0.25">
      <c r="B27" s="148"/>
      <c r="C27" s="57">
        <v>4</v>
      </c>
      <c r="D27" s="61">
        <v>98</v>
      </c>
      <c r="E27" s="27"/>
      <c r="F27" s="27"/>
      <c r="G27" s="27"/>
      <c r="H27" s="32"/>
      <c r="I27" s="31"/>
      <c r="J27" s="27"/>
      <c r="K27" s="27"/>
      <c r="L27" s="27"/>
      <c r="M27" s="32"/>
      <c r="N27" s="31"/>
      <c r="O27" s="27"/>
      <c r="P27" s="27"/>
      <c r="Q27" s="27"/>
      <c r="R27" s="32"/>
      <c r="S27" s="31"/>
      <c r="T27" s="27"/>
      <c r="U27" s="27"/>
      <c r="V27" s="27"/>
      <c r="W27" s="32"/>
      <c r="X27" s="31"/>
      <c r="Y27" s="27"/>
      <c r="Z27" s="27"/>
      <c r="AA27" s="27"/>
      <c r="AB27" s="32"/>
    </row>
    <row r="28" spans="2:28" ht="15" customHeight="1" thickBot="1" x14ac:dyDescent="0.3">
      <c r="B28" s="149"/>
      <c r="C28" s="58">
        <v>5</v>
      </c>
      <c r="D28" s="33"/>
      <c r="E28" s="34"/>
      <c r="F28" s="34"/>
      <c r="G28" s="34"/>
      <c r="H28" s="35"/>
      <c r="I28" s="33"/>
      <c r="J28" s="34"/>
      <c r="K28" s="34"/>
      <c r="L28" s="34"/>
      <c r="M28" s="35"/>
      <c r="N28" s="33"/>
      <c r="O28" s="34"/>
      <c r="P28" s="34"/>
      <c r="Q28" s="34"/>
      <c r="R28" s="35"/>
      <c r="S28" s="33"/>
      <c r="T28" s="34"/>
      <c r="U28" s="34"/>
      <c r="V28" s="34"/>
      <c r="W28" s="35"/>
      <c r="X28" s="33"/>
      <c r="Y28" s="34"/>
      <c r="Z28" s="34"/>
      <c r="AA28" s="34"/>
      <c r="AB28" s="50">
        <v>140</v>
      </c>
    </row>
    <row r="29" spans="2:28" ht="15" customHeight="1" x14ac:dyDescent="0.25"/>
    <row r="30" spans="2:28" ht="15" customHeight="1" x14ac:dyDescent="0.25"/>
  </sheetData>
  <mergeCells count="11">
    <mergeCell ref="B19:B23"/>
    <mergeCell ref="B24:B28"/>
    <mergeCell ref="N2:R2"/>
    <mergeCell ref="S2:W2"/>
    <mergeCell ref="X2:AB2"/>
    <mergeCell ref="B4:B8"/>
    <mergeCell ref="B9:B13"/>
    <mergeCell ref="B2:C3"/>
    <mergeCell ref="D2:H2"/>
    <mergeCell ref="I2:M2"/>
    <mergeCell ref="B14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994D-FA60-46A3-8859-20C372CFD4A2}">
  <dimension ref="A1:AR115"/>
  <sheetViews>
    <sheetView zoomScale="50" zoomScaleNormal="50" workbookViewId="0">
      <selection activeCell="P21" sqref="P21"/>
    </sheetView>
  </sheetViews>
  <sheetFormatPr defaultRowHeight="15" x14ac:dyDescent="0.25"/>
  <cols>
    <col min="2" max="8" width="12.7109375" customWidth="1"/>
    <col min="10" max="10" width="20.7109375" customWidth="1"/>
    <col min="11" max="26" width="12.7109375" customWidth="1"/>
  </cols>
  <sheetData>
    <row r="1" spans="2:26" ht="15" customHeight="1" thickBot="1" x14ac:dyDescent="0.3"/>
    <row r="2" spans="2:26" ht="15" customHeight="1" thickBot="1" x14ac:dyDescent="0.3">
      <c r="B2" s="147" t="s">
        <v>12</v>
      </c>
      <c r="C2" s="131" t="s">
        <v>11</v>
      </c>
      <c r="D2" s="132"/>
      <c r="E2" s="132"/>
      <c r="F2" s="132"/>
      <c r="G2" s="133"/>
      <c r="H2" s="147" t="s">
        <v>16</v>
      </c>
      <c r="J2" s="86" t="s">
        <v>33</v>
      </c>
      <c r="K2" s="5" t="s">
        <v>17</v>
      </c>
      <c r="L2" s="6" t="s">
        <v>18</v>
      </c>
      <c r="M2" s="6" t="s">
        <v>19</v>
      </c>
      <c r="N2" s="7" t="s">
        <v>20</v>
      </c>
      <c r="O2" s="5" t="s">
        <v>21</v>
      </c>
      <c r="P2" s="6" t="s">
        <v>18</v>
      </c>
      <c r="Q2" s="6" t="s">
        <v>22</v>
      </c>
      <c r="R2" s="7" t="s">
        <v>23</v>
      </c>
      <c r="S2" s="5" t="s">
        <v>24</v>
      </c>
      <c r="T2" s="6" t="s">
        <v>18</v>
      </c>
      <c r="U2" s="6" t="s">
        <v>25</v>
      </c>
      <c r="V2" s="7" t="s">
        <v>26</v>
      </c>
      <c r="W2" s="89" t="s">
        <v>27</v>
      </c>
      <c r="X2" s="6" t="s">
        <v>18</v>
      </c>
      <c r="Y2" s="6" t="s">
        <v>28</v>
      </c>
      <c r="Z2" s="7" t="s">
        <v>29</v>
      </c>
    </row>
    <row r="3" spans="2:26" ht="15" customHeight="1" thickBot="1" x14ac:dyDescent="0.3">
      <c r="B3" s="149"/>
      <c r="C3" s="90">
        <v>1</v>
      </c>
      <c r="D3" s="91">
        <v>2</v>
      </c>
      <c r="E3" s="91">
        <v>3</v>
      </c>
      <c r="F3" s="91">
        <v>4</v>
      </c>
      <c r="G3" s="92">
        <v>5</v>
      </c>
      <c r="H3" s="149"/>
      <c r="J3" s="175" t="s">
        <v>34</v>
      </c>
      <c r="K3" s="66">
        <v>1</v>
      </c>
      <c r="L3" s="67">
        <f>C9</f>
        <v>78.2</v>
      </c>
      <c r="M3" s="67">
        <f>POWER(K3,2)</f>
        <v>1</v>
      </c>
      <c r="N3" s="68">
        <f>K3*L3</f>
        <v>78.2</v>
      </c>
      <c r="O3" s="66">
        <v>1</v>
      </c>
      <c r="P3" s="67">
        <f>H4</f>
        <v>77.400000000000006</v>
      </c>
      <c r="Q3" s="67">
        <f>POWER(O3,2)</f>
        <v>1</v>
      </c>
      <c r="R3" s="68">
        <f>O3*P3</f>
        <v>77.400000000000006</v>
      </c>
      <c r="S3" s="66">
        <v>1</v>
      </c>
      <c r="T3" s="67">
        <f>C18</f>
        <v>74.400000000000006</v>
      </c>
      <c r="U3" s="67">
        <f>POWER(S3,2)</f>
        <v>1</v>
      </c>
      <c r="V3" s="68">
        <f>S3*T3</f>
        <v>74.400000000000006</v>
      </c>
      <c r="W3" s="69">
        <v>1</v>
      </c>
      <c r="X3" s="67">
        <f>H13</f>
        <v>50</v>
      </c>
      <c r="Y3" s="67">
        <f>POWER(W3,2)</f>
        <v>1</v>
      </c>
      <c r="Z3" s="68">
        <f>W3*X3</f>
        <v>50</v>
      </c>
    </row>
    <row r="4" spans="2:26" ht="15" customHeight="1" x14ac:dyDescent="0.25">
      <c r="B4" s="84">
        <v>1</v>
      </c>
      <c r="C4" s="69">
        <f>'Полученные значения'!D27</f>
        <v>98</v>
      </c>
      <c r="D4" s="67">
        <f>'Полученные значения'!I13</f>
        <v>103</v>
      </c>
      <c r="E4" s="67">
        <f>'Полученные значения'!N15</f>
        <v>61</v>
      </c>
      <c r="F4" s="67">
        <f>'Полученные значения'!S6</f>
        <v>71</v>
      </c>
      <c r="G4" s="80">
        <f>'Полученные значения'!X19</f>
        <v>54</v>
      </c>
      <c r="H4" s="71">
        <f>AVERAGE(C4:G4)</f>
        <v>77.400000000000006</v>
      </c>
      <c r="J4" s="176"/>
      <c r="K4" s="31">
        <v>2</v>
      </c>
      <c r="L4" s="27">
        <f>D9</f>
        <v>81.400000000000006</v>
      </c>
      <c r="M4" s="27">
        <f t="shared" ref="M4:M6" si="0">POWER(K4,2)</f>
        <v>4</v>
      </c>
      <c r="N4" s="32">
        <f t="shared" ref="N4:N6" si="1">K4*L4</f>
        <v>162.80000000000001</v>
      </c>
      <c r="O4" s="31">
        <v>2</v>
      </c>
      <c r="P4" s="27">
        <f>H5</f>
        <v>81</v>
      </c>
      <c r="Q4" s="27">
        <f t="shared" ref="Q4:Q7" si="2">POWER(O4,2)</f>
        <v>4</v>
      </c>
      <c r="R4" s="32">
        <f t="shared" ref="R4:R7" si="3">O4*P4</f>
        <v>162</v>
      </c>
      <c r="S4" s="31">
        <v>2</v>
      </c>
      <c r="T4" s="27">
        <f>D18</f>
        <v>78.8</v>
      </c>
      <c r="U4" s="27">
        <f t="shared" ref="U4:U7" si="4">POWER(S4,2)</f>
        <v>4</v>
      </c>
      <c r="V4" s="32">
        <f t="shared" ref="V4:V7" si="5">S4*T4</f>
        <v>157.6</v>
      </c>
      <c r="W4" s="70">
        <v>2</v>
      </c>
      <c r="X4" s="27">
        <f>H14</f>
        <v>67.2</v>
      </c>
      <c r="Y4" s="27">
        <f t="shared" ref="Y4:Y7" si="6">POWER(W4,2)</f>
        <v>4</v>
      </c>
      <c r="Z4" s="32">
        <f t="shared" ref="Z4:Z7" si="7">W4*X4</f>
        <v>134.4</v>
      </c>
    </row>
    <row r="5" spans="2:26" ht="15" customHeight="1" x14ac:dyDescent="0.25">
      <c r="B5" s="65">
        <v>2</v>
      </c>
      <c r="C5" s="70">
        <f>'Полученные значения'!E23</f>
        <v>114</v>
      </c>
      <c r="D5" s="27">
        <f>'Полученные значения'!J14</f>
        <v>45</v>
      </c>
      <c r="E5" s="27">
        <f>'Полученные значения'!O26</f>
        <v>91</v>
      </c>
      <c r="F5" s="27">
        <f>'Полученные значения'!T12</f>
        <v>96</v>
      </c>
      <c r="G5" s="81">
        <f>'Полученные значения'!Y5</f>
        <v>59</v>
      </c>
      <c r="H5" s="72">
        <f t="shared" ref="H5:H8" si="8">AVERAGE(C5:G5)</f>
        <v>81</v>
      </c>
      <c r="J5" s="176"/>
      <c r="K5" s="31">
        <v>3</v>
      </c>
      <c r="L5" s="27">
        <f>E9</f>
        <v>84.4</v>
      </c>
      <c r="M5" s="27">
        <f t="shared" si="0"/>
        <v>9</v>
      </c>
      <c r="N5" s="32">
        <f t="shared" si="1"/>
        <v>253.20000000000002</v>
      </c>
      <c r="O5" s="31">
        <v>3</v>
      </c>
      <c r="P5" s="27">
        <f>H6</f>
        <v>84.8</v>
      </c>
      <c r="Q5" s="27">
        <f t="shared" si="2"/>
        <v>9</v>
      </c>
      <c r="R5" s="32">
        <f t="shared" si="3"/>
        <v>254.39999999999998</v>
      </c>
      <c r="S5" s="31">
        <v>3</v>
      </c>
      <c r="T5" s="27">
        <f>E18</f>
        <v>84.4</v>
      </c>
      <c r="U5" s="27">
        <f t="shared" si="4"/>
        <v>9</v>
      </c>
      <c r="V5" s="32">
        <f t="shared" si="5"/>
        <v>253.20000000000002</v>
      </c>
      <c r="W5" s="70">
        <v>3</v>
      </c>
      <c r="X5" s="27">
        <f>H15</f>
        <v>84.2</v>
      </c>
      <c r="Y5" s="27">
        <f t="shared" si="6"/>
        <v>9</v>
      </c>
      <c r="Z5" s="32">
        <f t="shared" si="7"/>
        <v>252.60000000000002</v>
      </c>
    </row>
    <row r="6" spans="2:26" ht="15" customHeight="1" x14ac:dyDescent="0.25">
      <c r="B6" s="65">
        <v>3</v>
      </c>
      <c r="C6" s="70">
        <f>'Полученные значения'!F4</f>
        <v>35</v>
      </c>
      <c r="D6" s="27">
        <f>'Полученные значения'!K25</f>
        <v>75</v>
      </c>
      <c r="E6" s="27">
        <f>'Полученные значения'!P22</f>
        <v>107</v>
      </c>
      <c r="F6" s="27">
        <f>'Полученные значения'!U18</f>
        <v>122</v>
      </c>
      <c r="G6" s="81">
        <f>'Полученные значения'!Z11</f>
        <v>85</v>
      </c>
      <c r="H6" s="72">
        <f t="shared" si="8"/>
        <v>84.8</v>
      </c>
      <c r="J6" s="176"/>
      <c r="K6" s="31">
        <v>4</v>
      </c>
      <c r="L6" s="27">
        <f>F9</f>
        <v>87.2</v>
      </c>
      <c r="M6" s="27">
        <f t="shared" si="0"/>
        <v>16</v>
      </c>
      <c r="N6" s="32">
        <f t="shared" si="1"/>
        <v>348.8</v>
      </c>
      <c r="O6" s="31">
        <v>4</v>
      </c>
      <c r="P6" s="27">
        <f>H7</f>
        <v>86.8</v>
      </c>
      <c r="Q6" s="27">
        <f t="shared" si="2"/>
        <v>16</v>
      </c>
      <c r="R6" s="32">
        <f t="shared" si="3"/>
        <v>347.2</v>
      </c>
      <c r="S6" s="31">
        <v>4</v>
      </c>
      <c r="T6" s="27">
        <f>F18</f>
        <v>89.2</v>
      </c>
      <c r="U6" s="27">
        <f t="shared" si="4"/>
        <v>16</v>
      </c>
      <c r="V6" s="32">
        <f t="shared" si="5"/>
        <v>356.8</v>
      </c>
      <c r="W6" s="70">
        <v>4</v>
      </c>
      <c r="X6" s="27">
        <f>H16</f>
        <v>101</v>
      </c>
      <c r="Y6" s="27">
        <f t="shared" si="6"/>
        <v>16</v>
      </c>
      <c r="Z6" s="32">
        <f t="shared" si="7"/>
        <v>404</v>
      </c>
    </row>
    <row r="7" spans="2:26" ht="15" customHeight="1" thickBot="1" x14ac:dyDescent="0.3">
      <c r="B7" s="65">
        <v>4</v>
      </c>
      <c r="C7" s="70">
        <f>'Полученные значения'!G10</f>
        <v>59</v>
      </c>
      <c r="D7" s="27">
        <f>'Полученные значения'!L21</f>
        <v>89</v>
      </c>
      <c r="E7" s="27">
        <f>'Полученные значения'!Q8</f>
        <v>112</v>
      </c>
      <c r="F7" s="27">
        <f>'Полученные значения'!V24</f>
        <v>65</v>
      </c>
      <c r="G7" s="81">
        <f>'Полученные значения'!AA17</f>
        <v>109</v>
      </c>
      <c r="H7" s="72">
        <f t="shared" si="8"/>
        <v>86.8</v>
      </c>
      <c r="J7" s="177"/>
      <c r="K7" s="88">
        <v>5</v>
      </c>
      <c r="L7" s="76">
        <f>G9</f>
        <v>89.4</v>
      </c>
      <c r="M7" s="76">
        <f>POWER(K7,2)</f>
        <v>25</v>
      </c>
      <c r="N7" s="77">
        <f>K7*L7</f>
        <v>447</v>
      </c>
      <c r="O7" s="88">
        <v>5</v>
      </c>
      <c r="P7" s="76">
        <f>H8</f>
        <v>90.6</v>
      </c>
      <c r="Q7" s="76">
        <f t="shared" si="2"/>
        <v>25</v>
      </c>
      <c r="R7" s="77">
        <f t="shared" si="3"/>
        <v>453</v>
      </c>
      <c r="S7" s="88">
        <v>5</v>
      </c>
      <c r="T7" s="76">
        <f>G18</f>
        <v>93.8</v>
      </c>
      <c r="U7" s="76">
        <f t="shared" si="4"/>
        <v>25</v>
      </c>
      <c r="V7" s="77">
        <f t="shared" si="5"/>
        <v>469</v>
      </c>
      <c r="W7" s="75">
        <v>5</v>
      </c>
      <c r="X7" s="76">
        <f>H17</f>
        <v>118.2</v>
      </c>
      <c r="Y7" s="76">
        <f t="shared" si="6"/>
        <v>25</v>
      </c>
      <c r="Z7" s="77">
        <f t="shared" si="7"/>
        <v>591</v>
      </c>
    </row>
    <row r="8" spans="2:26" ht="15" customHeight="1" thickBot="1" x14ac:dyDescent="0.3">
      <c r="B8" s="85">
        <v>5</v>
      </c>
      <c r="C8" s="75">
        <f>'Полученные значения'!H16</f>
        <v>85</v>
      </c>
      <c r="D8" s="76">
        <f>'Полученные значения'!M7</f>
        <v>95</v>
      </c>
      <c r="E8" s="76">
        <f>'Полученные значения'!R9</f>
        <v>51</v>
      </c>
      <c r="F8" s="76">
        <f>'Полученные значения'!W20</f>
        <v>82</v>
      </c>
      <c r="G8" s="82">
        <f>'Полученные значения'!AB28</f>
        <v>140</v>
      </c>
      <c r="H8" s="74">
        <f t="shared" si="8"/>
        <v>90.6</v>
      </c>
      <c r="J8" s="86" t="s">
        <v>30</v>
      </c>
      <c r="K8" s="23">
        <f>SUM(K3:K7)</f>
        <v>15</v>
      </c>
      <c r="L8" s="24">
        <f t="shared" ref="L8:Z8" si="9">SUM(L3:L7)</f>
        <v>420.6</v>
      </c>
      <c r="M8" s="24">
        <f t="shared" si="9"/>
        <v>55</v>
      </c>
      <c r="N8" s="25">
        <f t="shared" si="9"/>
        <v>1290</v>
      </c>
      <c r="O8" s="23">
        <f t="shared" si="9"/>
        <v>15</v>
      </c>
      <c r="P8" s="24">
        <f t="shared" si="9"/>
        <v>420.6</v>
      </c>
      <c r="Q8" s="24">
        <f t="shared" si="9"/>
        <v>55</v>
      </c>
      <c r="R8" s="25">
        <f t="shared" si="9"/>
        <v>1294</v>
      </c>
      <c r="S8" s="23">
        <f t="shared" si="9"/>
        <v>15</v>
      </c>
      <c r="T8" s="24">
        <f t="shared" si="9"/>
        <v>420.6</v>
      </c>
      <c r="U8" s="24">
        <f t="shared" si="9"/>
        <v>55</v>
      </c>
      <c r="V8" s="25">
        <f t="shared" si="9"/>
        <v>1311</v>
      </c>
      <c r="W8" s="79">
        <f t="shared" si="9"/>
        <v>15</v>
      </c>
      <c r="X8" s="24">
        <f t="shared" si="9"/>
        <v>420.59999999999997</v>
      </c>
      <c r="Y8" s="24">
        <f t="shared" si="9"/>
        <v>55</v>
      </c>
      <c r="Z8" s="25">
        <f t="shared" si="9"/>
        <v>1432</v>
      </c>
    </row>
    <row r="9" spans="2:26" ht="15" customHeight="1" thickBot="1" x14ac:dyDescent="0.3">
      <c r="B9" s="86" t="s">
        <v>16</v>
      </c>
      <c r="C9" s="79">
        <f>AVERAGE(C4:C8)</f>
        <v>78.2</v>
      </c>
      <c r="D9" s="24">
        <f t="shared" ref="D9:G9" si="10">AVERAGE(D4:D8)</f>
        <v>81.400000000000006</v>
      </c>
      <c r="E9" s="24">
        <f t="shared" si="10"/>
        <v>84.4</v>
      </c>
      <c r="F9" s="24">
        <f t="shared" si="10"/>
        <v>87.2</v>
      </c>
      <c r="G9" s="83">
        <f t="shared" si="10"/>
        <v>89.4</v>
      </c>
      <c r="H9" s="78"/>
      <c r="J9" s="86" t="s">
        <v>35</v>
      </c>
      <c r="K9" s="23" t="s">
        <v>31</v>
      </c>
      <c r="L9" s="25">
        <f>(5*N8-K8*L8)/(5*M8-K8*K8)</f>
        <v>2.82</v>
      </c>
      <c r="M9" s="79" t="s">
        <v>32</v>
      </c>
      <c r="N9" s="25">
        <f>(L8-L9*K8)/5</f>
        <v>75.66</v>
      </c>
      <c r="O9" s="23" t="s">
        <v>31</v>
      </c>
      <c r="P9" s="25">
        <f>(5*R8-O8*P8)/(5*Q8-O8*O8)</f>
        <v>3.22</v>
      </c>
      <c r="Q9" s="79" t="s">
        <v>32</v>
      </c>
      <c r="R9" s="25">
        <f>(P8-P9*O8)/5</f>
        <v>74.460000000000008</v>
      </c>
      <c r="S9" s="23" t="s">
        <v>31</v>
      </c>
      <c r="T9" s="25">
        <f>(5*V8-S8*T8)/(5*U8-S8*S8)</f>
        <v>4.92</v>
      </c>
      <c r="U9" s="79" t="s">
        <v>32</v>
      </c>
      <c r="V9" s="25">
        <f>(T8-T9*S8)/5</f>
        <v>69.36</v>
      </c>
      <c r="W9" s="23" t="s">
        <v>31</v>
      </c>
      <c r="X9" s="25">
        <f>(5*Z8-W8*X8)/(5*Y8-W8*W8)</f>
        <v>17.020000000000017</v>
      </c>
      <c r="Y9" s="79" t="s">
        <v>32</v>
      </c>
      <c r="Z9" s="25">
        <f>(X8-X9*W8)/5</f>
        <v>33.059999999999938</v>
      </c>
    </row>
    <row r="10" spans="2:26" ht="15" customHeight="1" thickBot="1" x14ac:dyDescent="0.3">
      <c r="B10" s="22"/>
      <c r="C10" s="22"/>
      <c r="D10" s="22"/>
      <c r="E10" s="22"/>
      <c r="F10" s="22"/>
      <c r="G10" s="22"/>
      <c r="H10" s="22"/>
      <c r="J10" s="175" t="s">
        <v>36</v>
      </c>
      <c r="K10" s="154"/>
      <c r="L10" s="155"/>
      <c r="M10" s="155"/>
      <c r="N10" s="156"/>
      <c r="O10" s="154"/>
      <c r="P10" s="155"/>
      <c r="Q10" s="155"/>
      <c r="R10" s="156"/>
      <c r="S10" s="154"/>
      <c r="T10" s="155"/>
      <c r="U10" s="155"/>
      <c r="V10" s="156"/>
      <c r="W10" s="154"/>
      <c r="X10" s="155"/>
      <c r="Y10" s="155"/>
      <c r="Z10" s="156"/>
    </row>
    <row r="11" spans="2:26" ht="15" customHeight="1" thickBot="1" x14ac:dyDescent="0.3">
      <c r="B11" s="147" t="s">
        <v>14</v>
      </c>
      <c r="C11" s="131" t="s">
        <v>13</v>
      </c>
      <c r="D11" s="132"/>
      <c r="E11" s="132"/>
      <c r="F11" s="132"/>
      <c r="G11" s="133"/>
      <c r="H11" s="147" t="s">
        <v>16</v>
      </c>
      <c r="J11" s="176"/>
      <c r="K11" s="157"/>
      <c r="L11" s="158"/>
      <c r="M11" s="158"/>
      <c r="N11" s="159"/>
      <c r="O11" s="157"/>
      <c r="P11" s="158"/>
      <c r="Q11" s="158"/>
      <c r="R11" s="159"/>
      <c r="S11" s="157"/>
      <c r="T11" s="158"/>
      <c r="U11" s="158"/>
      <c r="V11" s="159"/>
      <c r="W11" s="157"/>
      <c r="X11" s="158"/>
      <c r="Y11" s="158"/>
      <c r="Z11" s="159"/>
    </row>
    <row r="12" spans="2:26" ht="15" customHeight="1" thickBot="1" x14ac:dyDescent="0.3">
      <c r="B12" s="149"/>
      <c r="C12" s="90">
        <v>1</v>
      </c>
      <c r="D12" s="91">
        <v>2</v>
      </c>
      <c r="E12" s="91">
        <v>3</v>
      </c>
      <c r="F12" s="91">
        <v>4</v>
      </c>
      <c r="G12" s="92">
        <v>5</v>
      </c>
      <c r="H12" s="149"/>
      <c r="J12" s="176"/>
      <c r="K12" s="157"/>
      <c r="L12" s="158"/>
      <c r="M12" s="158"/>
      <c r="N12" s="159"/>
      <c r="O12" s="157"/>
      <c r="P12" s="158"/>
      <c r="Q12" s="158"/>
      <c r="R12" s="159"/>
      <c r="S12" s="157"/>
      <c r="T12" s="158"/>
      <c r="U12" s="158"/>
      <c r="V12" s="159"/>
      <c r="W12" s="157"/>
      <c r="X12" s="158"/>
      <c r="Y12" s="158"/>
      <c r="Z12" s="159"/>
    </row>
    <row r="13" spans="2:26" ht="15" customHeight="1" x14ac:dyDescent="0.25">
      <c r="B13" s="84">
        <v>1</v>
      </c>
      <c r="C13" s="69">
        <f>'Полученные значения'!F4</f>
        <v>35</v>
      </c>
      <c r="D13" s="67">
        <f>'Полученные значения'!R9</f>
        <v>51</v>
      </c>
      <c r="E13" s="67">
        <f>'Полученные значения'!J14</f>
        <v>45</v>
      </c>
      <c r="F13" s="67">
        <f>'Полученные значения'!X19</f>
        <v>54</v>
      </c>
      <c r="G13" s="80">
        <f>'Полученные значения'!V24</f>
        <v>65</v>
      </c>
      <c r="H13" s="71">
        <f>AVERAGE(C13:G13)</f>
        <v>50</v>
      </c>
      <c r="J13" s="176"/>
      <c r="K13" s="157"/>
      <c r="L13" s="158"/>
      <c r="M13" s="158"/>
      <c r="N13" s="159"/>
      <c r="O13" s="157"/>
      <c r="P13" s="158"/>
      <c r="Q13" s="158"/>
      <c r="R13" s="159"/>
      <c r="S13" s="157"/>
      <c r="T13" s="158"/>
      <c r="U13" s="158"/>
      <c r="V13" s="159"/>
      <c r="W13" s="157"/>
      <c r="X13" s="158"/>
      <c r="Y13" s="158"/>
      <c r="Z13" s="159"/>
    </row>
    <row r="14" spans="2:26" ht="15" customHeight="1" x14ac:dyDescent="0.25">
      <c r="B14" s="65">
        <v>2</v>
      </c>
      <c r="C14" s="70">
        <f>'Полученные значения'!Y5</f>
        <v>59</v>
      </c>
      <c r="D14" s="27">
        <f>'Полученные значения'!G10</f>
        <v>59</v>
      </c>
      <c r="E14" s="27">
        <f>'Полученные значения'!N15</f>
        <v>61</v>
      </c>
      <c r="F14" s="27">
        <f>'Полученные значения'!W20</f>
        <v>82</v>
      </c>
      <c r="G14" s="81">
        <f>'Полученные значения'!K25</f>
        <v>75</v>
      </c>
      <c r="H14" s="72">
        <f t="shared" ref="H14:H17" si="11">AVERAGE(C14:G14)</f>
        <v>67.2</v>
      </c>
      <c r="J14" s="176"/>
      <c r="K14" s="157"/>
      <c r="L14" s="158"/>
      <c r="M14" s="158"/>
      <c r="N14" s="159"/>
      <c r="O14" s="157"/>
      <c r="P14" s="158"/>
      <c r="Q14" s="158"/>
      <c r="R14" s="159"/>
      <c r="S14" s="157"/>
      <c r="T14" s="158"/>
      <c r="U14" s="158"/>
      <c r="V14" s="159"/>
      <c r="W14" s="157"/>
      <c r="X14" s="158"/>
      <c r="Y14" s="158"/>
      <c r="Z14" s="159"/>
    </row>
    <row r="15" spans="2:26" ht="15" customHeight="1" x14ac:dyDescent="0.25">
      <c r="B15" s="65">
        <v>3</v>
      </c>
      <c r="C15" s="70">
        <f>'Полученные значения'!S6</f>
        <v>71</v>
      </c>
      <c r="D15" s="27">
        <f>'Полученные значения'!Z11</f>
        <v>85</v>
      </c>
      <c r="E15" s="27">
        <f>'Полученные значения'!H16</f>
        <v>85</v>
      </c>
      <c r="F15" s="27">
        <f>'Полученные значения'!L21</f>
        <v>89</v>
      </c>
      <c r="G15" s="81">
        <f>'Полученные значения'!O26</f>
        <v>91</v>
      </c>
      <c r="H15" s="72">
        <f t="shared" si="11"/>
        <v>84.2</v>
      </c>
      <c r="J15" s="176"/>
      <c r="K15" s="157"/>
      <c r="L15" s="158"/>
      <c r="M15" s="158"/>
      <c r="N15" s="159"/>
      <c r="O15" s="157"/>
      <c r="P15" s="158"/>
      <c r="Q15" s="158"/>
      <c r="R15" s="159"/>
      <c r="S15" s="157"/>
      <c r="T15" s="158"/>
      <c r="U15" s="158"/>
      <c r="V15" s="159"/>
      <c r="W15" s="157"/>
      <c r="X15" s="158"/>
      <c r="Y15" s="158"/>
      <c r="Z15" s="159"/>
    </row>
    <row r="16" spans="2:26" ht="15" customHeight="1" x14ac:dyDescent="0.25">
      <c r="B16" s="65">
        <v>4</v>
      </c>
      <c r="C16" s="70">
        <f>'Полученные значения'!M7</f>
        <v>95</v>
      </c>
      <c r="D16" s="27">
        <f>'Полученные значения'!T12</f>
        <v>96</v>
      </c>
      <c r="E16" s="27">
        <f>'Полученные значения'!AA17</f>
        <v>109</v>
      </c>
      <c r="F16" s="27">
        <f>'Полученные значения'!P22</f>
        <v>107</v>
      </c>
      <c r="G16" s="81">
        <f>'Полученные значения'!D27</f>
        <v>98</v>
      </c>
      <c r="H16" s="72">
        <f t="shared" si="11"/>
        <v>101</v>
      </c>
      <c r="J16" s="176"/>
      <c r="K16" s="157"/>
      <c r="L16" s="158"/>
      <c r="M16" s="158"/>
      <c r="N16" s="159"/>
      <c r="O16" s="157"/>
      <c r="P16" s="158"/>
      <c r="Q16" s="158"/>
      <c r="R16" s="159"/>
      <c r="S16" s="157"/>
      <c r="T16" s="158"/>
      <c r="U16" s="158"/>
      <c r="V16" s="159"/>
      <c r="W16" s="157"/>
      <c r="X16" s="158"/>
      <c r="Y16" s="158"/>
      <c r="Z16" s="159"/>
    </row>
    <row r="17" spans="1:44" ht="15" customHeight="1" thickBot="1" x14ac:dyDescent="0.3">
      <c r="B17" s="85">
        <v>5</v>
      </c>
      <c r="C17" s="75">
        <f>'Полученные значения'!Q8</f>
        <v>112</v>
      </c>
      <c r="D17" s="76">
        <f>'Полученные значения'!I13</f>
        <v>103</v>
      </c>
      <c r="E17" s="76">
        <f>'Полученные значения'!U18</f>
        <v>122</v>
      </c>
      <c r="F17" s="76">
        <f>'Полученные значения'!E23</f>
        <v>114</v>
      </c>
      <c r="G17" s="82">
        <f>'Полученные значения'!AB28</f>
        <v>140</v>
      </c>
      <c r="H17" s="74">
        <f t="shared" si="11"/>
        <v>118.2</v>
      </c>
      <c r="J17" s="176"/>
      <c r="K17" s="157"/>
      <c r="L17" s="158"/>
      <c r="M17" s="158"/>
      <c r="N17" s="159"/>
      <c r="O17" s="157"/>
      <c r="P17" s="158"/>
      <c r="Q17" s="158"/>
      <c r="R17" s="159"/>
      <c r="S17" s="157"/>
      <c r="T17" s="158"/>
      <c r="U17" s="158"/>
      <c r="V17" s="159"/>
      <c r="W17" s="157"/>
      <c r="X17" s="158"/>
      <c r="Y17" s="158"/>
      <c r="Z17" s="159"/>
    </row>
    <row r="18" spans="1:44" ht="15" customHeight="1" thickBot="1" x14ac:dyDescent="0.3">
      <c r="B18" s="86" t="s">
        <v>16</v>
      </c>
      <c r="C18" s="79">
        <f>AVERAGE(C13:C17)</f>
        <v>74.400000000000006</v>
      </c>
      <c r="D18" s="24">
        <f t="shared" ref="D18:G18" si="12">AVERAGE(D13:D17)</f>
        <v>78.8</v>
      </c>
      <c r="E18" s="24">
        <f t="shared" si="12"/>
        <v>84.4</v>
      </c>
      <c r="F18" s="24">
        <f t="shared" si="12"/>
        <v>89.2</v>
      </c>
      <c r="G18" s="83">
        <f t="shared" si="12"/>
        <v>93.8</v>
      </c>
      <c r="H18" s="78"/>
      <c r="J18" s="177"/>
      <c r="K18" s="160"/>
      <c r="L18" s="161"/>
      <c r="M18" s="161"/>
      <c r="N18" s="162"/>
      <c r="O18" s="160"/>
      <c r="P18" s="161"/>
      <c r="Q18" s="161"/>
      <c r="R18" s="162"/>
      <c r="S18" s="160"/>
      <c r="T18" s="161"/>
      <c r="U18" s="161"/>
      <c r="V18" s="162"/>
      <c r="W18" s="160"/>
      <c r="X18" s="161"/>
      <c r="Y18" s="161"/>
      <c r="Z18" s="162"/>
    </row>
    <row r="19" spans="1:44" ht="15" customHeight="1" thickBot="1" x14ac:dyDescent="0.3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1"/>
      <c r="AL19" s="1"/>
      <c r="AM19" s="1"/>
      <c r="AN19" s="1"/>
      <c r="AO19" s="1"/>
      <c r="AP19" s="1"/>
      <c r="AQ19" s="1"/>
      <c r="AR19" s="1"/>
    </row>
    <row r="20" spans="1:44" ht="15" customHeight="1" thickBot="1" x14ac:dyDescent="0.35">
      <c r="A20" s="22"/>
      <c r="B20" s="5" t="s">
        <v>38</v>
      </c>
      <c r="C20" s="6" t="s">
        <v>37</v>
      </c>
      <c r="D20" s="6" t="s">
        <v>39</v>
      </c>
      <c r="E20" s="99" t="s">
        <v>40</v>
      </c>
      <c r="F20" s="86" t="s">
        <v>41</v>
      </c>
      <c r="G20" s="22"/>
      <c r="H20" s="22"/>
      <c r="I20" s="22"/>
      <c r="J20" s="22"/>
      <c r="K20" s="95" t="s">
        <v>11</v>
      </c>
      <c r="L20" s="96" t="s">
        <v>12</v>
      </c>
      <c r="M20" s="96" t="s">
        <v>13</v>
      </c>
      <c r="N20" s="97" t="s">
        <v>14</v>
      </c>
      <c r="O20" s="98" t="s">
        <v>42</v>
      </c>
      <c r="P20" s="98" t="s">
        <v>43</v>
      </c>
      <c r="Q20" s="98" t="s">
        <v>44</v>
      </c>
      <c r="R20" s="98" t="s">
        <v>45</v>
      </c>
      <c r="S20" s="98" t="s">
        <v>46</v>
      </c>
      <c r="T20" s="98" t="s">
        <v>47</v>
      </c>
      <c r="U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1"/>
      <c r="AL20" s="1"/>
      <c r="AM20" s="1"/>
      <c r="AN20" s="1"/>
      <c r="AO20" s="1"/>
      <c r="AP20" s="1"/>
      <c r="AQ20" s="1"/>
      <c r="AR20" s="1"/>
    </row>
    <row r="21" spans="1:44" ht="15" customHeight="1" thickBot="1" x14ac:dyDescent="0.35">
      <c r="A21" s="22"/>
      <c r="B21" s="36">
        <f>L9</f>
        <v>2.82</v>
      </c>
      <c r="C21" s="37">
        <f>P9</f>
        <v>3.22</v>
      </c>
      <c r="D21" s="37">
        <f>T9</f>
        <v>4.92</v>
      </c>
      <c r="E21" s="94">
        <f>X9</f>
        <v>17.020000000000017</v>
      </c>
      <c r="F21" s="87">
        <f>AVERAGE(Q21:Q45)</f>
        <v>0.17999999999994884</v>
      </c>
      <c r="G21" s="22"/>
      <c r="H21" s="22"/>
      <c r="I21" s="22"/>
      <c r="J21" s="22"/>
      <c r="K21" s="66">
        <v>1</v>
      </c>
      <c r="L21" s="67">
        <v>3</v>
      </c>
      <c r="M21" s="67">
        <v>1</v>
      </c>
      <c r="N21" s="68">
        <v>1</v>
      </c>
      <c r="O21" s="71">
        <f>'Полученные значения'!F4</f>
        <v>35</v>
      </c>
      <c r="P21" s="71">
        <f>SUMPRODUCT($B$21:$E$21,K21:N21)</f>
        <v>34.420000000000016</v>
      </c>
      <c r="Q21" s="71">
        <f>O21-P21</f>
        <v>0.57999999999998408</v>
      </c>
      <c r="R21" s="71">
        <f>P21+$F$21</f>
        <v>34.599999999999966</v>
      </c>
      <c r="S21" s="71">
        <f>R21-O21</f>
        <v>-0.40000000000003411</v>
      </c>
      <c r="T21" s="71">
        <f t="shared" ref="T21:T45" si="13">POWER(O21-$B$26, 2)</f>
        <v>2412.7744000000002</v>
      </c>
      <c r="U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1"/>
      <c r="AL21" s="1"/>
      <c r="AM21" s="1"/>
      <c r="AN21" s="1"/>
      <c r="AO21" s="1"/>
      <c r="AP21" s="1"/>
      <c r="AQ21" s="1"/>
      <c r="AR21" s="1"/>
    </row>
    <row r="22" spans="1:44" ht="15" customHeight="1" thickBot="1" x14ac:dyDescent="0.35">
      <c r="A22" s="22"/>
      <c r="B22" s="172" t="s">
        <v>48</v>
      </c>
      <c r="C22" s="173"/>
      <c r="D22" s="173"/>
      <c r="E22" s="173"/>
      <c r="F22" s="174"/>
      <c r="G22" s="22"/>
      <c r="H22" s="22"/>
      <c r="I22" s="22"/>
      <c r="J22" s="22"/>
      <c r="K22" s="31">
        <v>1</v>
      </c>
      <c r="L22" s="27">
        <v>4</v>
      </c>
      <c r="M22" s="27">
        <v>2</v>
      </c>
      <c r="N22" s="32">
        <v>2</v>
      </c>
      <c r="O22" s="72">
        <f>'Полученные значения'!G10</f>
        <v>59</v>
      </c>
      <c r="P22" s="71">
        <f>SUMPRODUCT($B$21:$E$21,K22:N22)</f>
        <v>59.580000000000034</v>
      </c>
      <c r="Q22" s="71">
        <f t="shared" ref="Q22:Q45" si="14">O22-P22</f>
        <v>-0.58000000000003382</v>
      </c>
      <c r="R22" s="71">
        <f t="shared" ref="R22:R45" si="15">P22+$F$21</f>
        <v>59.759999999999984</v>
      </c>
      <c r="S22" s="71">
        <f t="shared" ref="S22:S45" si="16">R22-O22</f>
        <v>0.7599999999999838</v>
      </c>
      <c r="T22" s="71">
        <f t="shared" si="13"/>
        <v>631.01440000000025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1"/>
      <c r="AL22" s="1"/>
      <c r="AM22" s="1"/>
      <c r="AN22" s="1"/>
      <c r="AO22" s="1"/>
      <c r="AP22" s="1"/>
      <c r="AQ22" s="1"/>
      <c r="AR22" s="1"/>
    </row>
    <row r="23" spans="1:44" ht="15" customHeight="1" thickBot="1" x14ac:dyDescent="0.35">
      <c r="A23" s="22"/>
      <c r="B23" s="169" t="s">
        <v>49</v>
      </c>
      <c r="C23" s="170"/>
      <c r="D23" s="170"/>
      <c r="E23" s="170"/>
      <c r="F23" s="171"/>
      <c r="G23" s="22"/>
      <c r="H23" s="22"/>
      <c r="I23" s="22"/>
      <c r="J23" s="22"/>
      <c r="K23" s="31">
        <v>1</v>
      </c>
      <c r="L23" s="27">
        <v>5</v>
      </c>
      <c r="M23" s="27">
        <v>3</v>
      </c>
      <c r="N23" s="32">
        <v>3</v>
      </c>
      <c r="O23" s="72">
        <f>'Полученные значения'!H16</f>
        <v>85</v>
      </c>
      <c r="P23" s="71">
        <f t="shared" ref="P23:P44" si="17">SUMPRODUCT($B$21:$E$21,K23:N23)</f>
        <v>84.740000000000052</v>
      </c>
      <c r="Q23" s="71">
        <f t="shared" si="14"/>
        <v>0.25999999999994827</v>
      </c>
      <c r="R23" s="71">
        <f t="shared" si="15"/>
        <v>84.92</v>
      </c>
      <c r="S23" s="71">
        <f t="shared" si="16"/>
        <v>-7.9999999999998295E-2</v>
      </c>
      <c r="T23" s="71">
        <f t="shared" si="13"/>
        <v>0.77439999999999198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1"/>
      <c r="AL23" s="1"/>
      <c r="AM23" s="1"/>
      <c r="AN23" s="1"/>
      <c r="AO23" s="1"/>
      <c r="AP23" s="1"/>
      <c r="AQ23" s="1"/>
      <c r="AR23" s="1"/>
    </row>
    <row r="24" spans="1:44" ht="15" customHeight="1" thickBot="1" x14ac:dyDescent="0.3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31">
        <v>1</v>
      </c>
      <c r="L24" s="27">
        <v>2</v>
      </c>
      <c r="M24" s="27">
        <v>4</v>
      </c>
      <c r="N24" s="32">
        <v>5</v>
      </c>
      <c r="O24" s="72">
        <f>'Полученные значения'!E23</f>
        <v>114</v>
      </c>
      <c r="P24" s="71">
        <f t="shared" si="17"/>
        <v>114.04000000000008</v>
      </c>
      <c r="Q24" s="71">
        <f t="shared" si="14"/>
        <v>-4.0000000000077307E-2</v>
      </c>
      <c r="R24" s="71">
        <f t="shared" si="15"/>
        <v>114.22000000000003</v>
      </c>
      <c r="S24" s="71">
        <f t="shared" si="16"/>
        <v>0.22000000000002728</v>
      </c>
      <c r="T24" s="71">
        <f t="shared" si="13"/>
        <v>892.81439999999975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1"/>
      <c r="AL24" s="1"/>
      <c r="AM24" s="1"/>
      <c r="AN24" s="1"/>
      <c r="AO24" s="1"/>
      <c r="AP24" s="1"/>
      <c r="AQ24" s="1"/>
      <c r="AR24" s="1"/>
    </row>
    <row r="25" spans="1:44" ht="15" customHeight="1" thickBot="1" x14ac:dyDescent="0.35">
      <c r="A25" s="22"/>
      <c r="B25" s="100" t="s">
        <v>50</v>
      </c>
      <c r="C25" s="5" t="s">
        <v>51</v>
      </c>
      <c r="D25" s="7" t="s">
        <v>52</v>
      </c>
      <c r="E25" s="5" t="s">
        <v>53</v>
      </c>
      <c r="F25" s="7" t="s">
        <v>54</v>
      </c>
      <c r="G25" s="22"/>
      <c r="H25" s="22"/>
      <c r="I25" s="22"/>
      <c r="J25" s="22"/>
      <c r="K25" s="31">
        <v>1</v>
      </c>
      <c r="L25" s="27">
        <v>1</v>
      </c>
      <c r="M25" s="27">
        <v>5</v>
      </c>
      <c r="N25" s="32">
        <v>4</v>
      </c>
      <c r="O25" s="72">
        <f>'Полученные значения'!D27</f>
        <v>98</v>
      </c>
      <c r="P25" s="71">
        <f t="shared" si="17"/>
        <v>98.72000000000007</v>
      </c>
      <c r="Q25" s="71">
        <f t="shared" si="14"/>
        <v>-0.72000000000006992</v>
      </c>
      <c r="R25" s="71">
        <f t="shared" si="15"/>
        <v>98.90000000000002</v>
      </c>
      <c r="S25" s="71">
        <f t="shared" si="16"/>
        <v>0.9000000000000199</v>
      </c>
      <c r="T25" s="71">
        <f t="shared" si="13"/>
        <v>192.65439999999987</v>
      </c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1"/>
      <c r="AL25" s="1"/>
      <c r="AM25" s="1"/>
      <c r="AN25" s="1"/>
      <c r="AO25" s="1"/>
      <c r="AP25" s="1"/>
      <c r="AQ25" s="1"/>
      <c r="AR25" s="1"/>
    </row>
    <row r="26" spans="1:44" ht="15" customHeight="1" thickBot="1" x14ac:dyDescent="0.35">
      <c r="A26" s="22"/>
      <c r="B26" s="101">
        <f>AVERAGE(O21:O45)</f>
        <v>84.12</v>
      </c>
      <c r="C26" s="36">
        <f>FTEST(O21:O45,T21:T45)</f>
        <v>1.4006302074516672E-29</v>
      </c>
      <c r="D26" s="38">
        <v>1.98</v>
      </c>
      <c r="E26" s="36">
        <v>24</v>
      </c>
      <c r="F26" s="38">
        <v>24</v>
      </c>
      <c r="G26" s="22"/>
      <c r="H26" s="22"/>
      <c r="I26" s="22"/>
      <c r="J26" s="22"/>
      <c r="K26" s="31">
        <v>2</v>
      </c>
      <c r="L26" s="27">
        <v>5</v>
      </c>
      <c r="M26" s="27">
        <v>1</v>
      </c>
      <c r="N26" s="32">
        <v>4</v>
      </c>
      <c r="O26" s="72">
        <f>'Полученные значения'!M7</f>
        <v>95</v>
      </c>
      <c r="P26" s="71">
        <f t="shared" si="17"/>
        <v>94.740000000000066</v>
      </c>
      <c r="Q26" s="71">
        <f t="shared" si="14"/>
        <v>0.25999999999993406</v>
      </c>
      <c r="R26" s="71">
        <f t="shared" si="15"/>
        <v>94.920000000000016</v>
      </c>
      <c r="S26" s="71">
        <f t="shared" si="16"/>
        <v>-7.9999999999984084E-2</v>
      </c>
      <c r="T26" s="71">
        <f t="shared" si="13"/>
        <v>118.37439999999989</v>
      </c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1"/>
      <c r="AL26" s="1"/>
      <c r="AM26" s="1"/>
      <c r="AN26" s="1"/>
      <c r="AO26" s="1"/>
      <c r="AP26" s="1"/>
      <c r="AQ26" s="1"/>
      <c r="AR26" s="1"/>
    </row>
    <row r="27" spans="1:44" ht="15" customHeight="1" thickBot="1" x14ac:dyDescent="0.3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31">
        <v>2</v>
      </c>
      <c r="L27" s="27">
        <v>1</v>
      </c>
      <c r="M27" s="27">
        <v>2</v>
      </c>
      <c r="N27" s="32">
        <v>5</v>
      </c>
      <c r="O27" s="72">
        <f>'Полученные значения'!I13</f>
        <v>103</v>
      </c>
      <c r="P27" s="71">
        <f t="shared" si="17"/>
        <v>103.80000000000008</v>
      </c>
      <c r="Q27" s="71">
        <f t="shared" si="14"/>
        <v>-0.80000000000008242</v>
      </c>
      <c r="R27" s="71">
        <f t="shared" si="15"/>
        <v>103.98000000000003</v>
      </c>
      <c r="S27" s="71">
        <f t="shared" si="16"/>
        <v>0.9800000000000324</v>
      </c>
      <c r="T27" s="71">
        <f t="shared" si="13"/>
        <v>356.45439999999985</v>
      </c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1"/>
      <c r="AL27" s="1"/>
      <c r="AM27" s="1"/>
      <c r="AN27" s="1"/>
      <c r="AO27" s="1"/>
      <c r="AP27" s="1"/>
      <c r="AQ27" s="1"/>
      <c r="AR27" s="1"/>
    </row>
    <row r="28" spans="1:44" ht="15" customHeight="1" x14ac:dyDescent="0.3">
      <c r="A28" s="22"/>
      <c r="B28" s="163" t="s">
        <v>55</v>
      </c>
      <c r="C28" s="164"/>
      <c r="D28" s="164"/>
      <c r="E28" s="164"/>
      <c r="F28" s="165"/>
      <c r="G28" s="22"/>
      <c r="H28" s="22"/>
      <c r="I28" s="22"/>
      <c r="J28" s="22"/>
      <c r="K28" s="31">
        <v>2</v>
      </c>
      <c r="L28" s="27">
        <v>2</v>
      </c>
      <c r="M28" s="27">
        <v>3</v>
      </c>
      <c r="N28" s="32">
        <v>1</v>
      </c>
      <c r="O28" s="72">
        <f>'Полученные значения'!J14</f>
        <v>45</v>
      </c>
      <c r="P28" s="71">
        <f t="shared" si="17"/>
        <v>43.860000000000014</v>
      </c>
      <c r="Q28" s="71">
        <f t="shared" si="14"/>
        <v>1.1399999999999864</v>
      </c>
      <c r="R28" s="71">
        <f t="shared" si="15"/>
        <v>44.039999999999964</v>
      </c>
      <c r="S28" s="71">
        <f t="shared" si="16"/>
        <v>-0.96000000000003638</v>
      </c>
      <c r="T28" s="71">
        <f t="shared" si="13"/>
        <v>1530.3744000000004</v>
      </c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1"/>
      <c r="AL28" s="1"/>
      <c r="AM28" s="1"/>
      <c r="AN28" s="1"/>
      <c r="AO28" s="1"/>
      <c r="AP28" s="1"/>
      <c r="AQ28" s="1"/>
      <c r="AR28" s="1"/>
    </row>
    <row r="29" spans="1:44" ht="15" customHeight="1" thickBot="1" x14ac:dyDescent="0.35">
      <c r="A29" s="22"/>
      <c r="B29" s="166"/>
      <c r="C29" s="167"/>
      <c r="D29" s="167"/>
      <c r="E29" s="167"/>
      <c r="F29" s="168"/>
      <c r="G29" s="22"/>
      <c r="H29" s="22"/>
      <c r="I29" s="22"/>
      <c r="J29" s="22"/>
      <c r="K29" s="31">
        <v>2</v>
      </c>
      <c r="L29" s="27">
        <v>4</v>
      </c>
      <c r="M29" s="27">
        <v>4</v>
      </c>
      <c r="N29" s="32">
        <v>3</v>
      </c>
      <c r="O29" s="72">
        <f>'Полученные значения'!L21</f>
        <v>89</v>
      </c>
      <c r="P29" s="71">
        <f t="shared" si="17"/>
        <v>89.260000000000048</v>
      </c>
      <c r="Q29" s="71">
        <f t="shared" si="14"/>
        <v>-0.26000000000004775</v>
      </c>
      <c r="R29" s="71">
        <f t="shared" si="15"/>
        <v>89.44</v>
      </c>
      <c r="S29" s="71">
        <f t="shared" si="16"/>
        <v>0.43999999999999773</v>
      </c>
      <c r="T29" s="71">
        <f t="shared" si="13"/>
        <v>23.814399999999956</v>
      </c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1"/>
      <c r="AL29" s="1"/>
      <c r="AM29" s="1"/>
      <c r="AN29" s="1"/>
      <c r="AO29" s="1"/>
      <c r="AP29" s="1"/>
      <c r="AQ29" s="1"/>
      <c r="AR29" s="1"/>
    </row>
    <row r="30" spans="1:44" ht="15" customHeight="1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31">
        <v>2</v>
      </c>
      <c r="L30" s="27">
        <v>3</v>
      </c>
      <c r="M30" s="27">
        <v>5</v>
      </c>
      <c r="N30" s="32">
        <v>2</v>
      </c>
      <c r="O30" s="72">
        <f>'Полученные значения'!K25</f>
        <v>75</v>
      </c>
      <c r="P30" s="71">
        <f t="shared" si="17"/>
        <v>73.94000000000004</v>
      </c>
      <c r="Q30" s="71">
        <f t="shared" si="14"/>
        <v>1.0599999999999596</v>
      </c>
      <c r="R30" s="71">
        <f t="shared" si="15"/>
        <v>74.11999999999999</v>
      </c>
      <c r="S30" s="71">
        <f t="shared" si="16"/>
        <v>-0.88000000000000966</v>
      </c>
      <c r="T30" s="71">
        <f t="shared" si="13"/>
        <v>83.174400000000077</v>
      </c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1"/>
      <c r="AL30" s="1"/>
      <c r="AM30" s="1"/>
      <c r="AN30" s="1"/>
      <c r="AO30" s="1"/>
      <c r="AP30" s="1"/>
      <c r="AQ30" s="1"/>
      <c r="AR30" s="1"/>
    </row>
    <row r="31" spans="1:44" ht="15" customHeight="1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31">
        <v>3</v>
      </c>
      <c r="L31" s="27">
        <v>4</v>
      </c>
      <c r="M31" s="27">
        <v>1</v>
      </c>
      <c r="N31" s="32">
        <v>5</v>
      </c>
      <c r="O31" s="72">
        <f>'Полученные значения'!Q8</f>
        <v>112</v>
      </c>
      <c r="P31" s="71">
        <f t="shared" si="17"/>
        <v>111.36000000000007</v>
      </c>
      <c r="Q31" s="71">
        <f t="shared" si="14"/>
        <v>0.63999999999992951</v>
      </c>
      <c r="R31" s="71">
        <f t="shared" si="15"/>
        <v>111.54000000000002</v>
      </c>
      <c r="S31" s="71">
        <f t="shared" si="16"/>
        <v>-0.45999999999997954</v>
      </c>
      <c r="T31" s="71">
        <f t="shared" si="13"/>
        <v>777.29439999999977</v>
      </c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1"/>
      <c r="AL31" s="1"/>
      <c r="AM31" s="1"/>
      <c r="AN31" s="1"/>
      <c r="AO31" s="1"/>
      <c r="AP31" s="1"/>
      <c r="AQ31" s="1"/>
      <c r="AR31" s="1"/>
    </row>
    <row r="32" spans="1:44" ht="15" customHeight="1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31">
        <v>3</v>
      </c>
      <c r="L32" s="27">
        <v>5</v>
      </c>
      <c r="M32" s="27">
        <v>2</v>
      </c>
      <c r="N32" s="32">
        <v>1</v>
      </c>
      <c r="O32" s="72">
        <f>'Полученные значения'!R9</f>
        <v>51</v>
      </c>
      <c r="P32" s="71">
        <f t="shared" si="17"/>
        <v>51.420000000000023</v>
      </c>
      <c r="Q32" s="71">
        <f t="shared" si="14"/>
        <v>-0.42000000000002302</v>
      </c>
      <c r="R32" s="71">
        <f t="shared" si="15"/>
        <v>51.599999999999973</v>
      </c>
      <c r="S32" s="71">
        <f t="shared" si="16"/>
        <v>0.599999999999973</v>
      </c>
      <c r="T32" s="71">
        <f t="shared" si="13"/>
        <v>1096.9344000000003</v>
      </c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1"/>
      <c r="AL32" s="1"/>
      <c r="AM32" s="1"/>
      <c r="AN32" s="1"/>
      <c r="AO32" s="1"/>
      <c r="AP32" s="1"/>
      <c r="AQ32" s="1"/>
      <c r="AR32" s="1"/>
    </row>
    <row r="33" spans="1:44" ht="15" customHeight="1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31">
        <v>3</v>
      </c>
      <c r="L33" s="27">
        <v>1</v>
      </c>
      <c r="M33" s="27">
        <v>3</v>
      </c>
      <c r="N33" s="32">
        <v>2</v>
      </c>
      <c r="O33" s="72">
        <f>'Полученные значения'!N15</f>
        <v>61</v>
      </c>
      <c r="P33" s="71">
        <f t="shared" si="17"/>
        <v>60.480000000000032</v>
      </c>
      <c r="Q33" s="71">
        <f t="shared" si="14"/>
        <v>0.5199999999999676</v>
      </c>
      <c r="R33" s="71">
        <f t="shared" si="15"/>
        <v>60.659999999999982</v>
      </c>
      <c r="S33" s="71">
        <f t="shared" si="16"/>
        <v>-0.34000000000001762</v>
      </c>
      <c r="T33" s="71">
        <f t="shared" si="13"/>
        <v>534.53440000000023</v>
      </c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1"/>
      <c r="AL33" s="1"/>
      <c r="AM33" s="1"/>
      <c r="AN33" s="1"/>
      <c r="AO33" s="1"/>
      <c r="AP33" s="1"/>
      <c r="AQ33" s="1"/>
      <c r="AR33" s="1"/>
    </row>
    <row r="34" spans="1:44" ht="15" customHeight="1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31">
        <v>3</v>
      </c>
      <c r="L34" s="27">
        <v>3</v>
      </c>
      <c r="M34" s="27">
        <v>4</v>
      </c>
      <c r="N34" s="32">
        <v>4</v>
      </c>
      <c r="O34" s="72">
        <f>'Полученные значения'!P22</f>
        <v>107</v>
      </c>
      <c r="P34" s="71">
        <f t="shared" si="17"/>
        <v>105.88000000000007</v>
      </c>
      <c r="Q34" s="71">
        <f t="shared" si="14"/>
        <v>1.1199999999999335</v>
      </c>
      <c r="R34" s="71">
        <f t="shared" si="15"/>
        <v>106.06000000000002</v>
      </c>
      <c r="S34" s="71">
        <f t="shared" si="16"/>
        <v>-0.93999999999998352</v>
      </c>
      <c r="T34" s="71">
        <f t="shared" si="13"/>
        <v>523.49439999999981</v>
      </c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1"/>
      <c r="AL34" s="1"/>
      <c r="AM34" s="1"/>
      <c r="AN34" s="1"/>
      <c r="AO34" s="1"/>
      <c r="AP34" s="1"/>
      <c r="AQ34" s="1"/>
      <c r="AR34" s="1"/>
    </row>
    <row r="35" spans="1:44" ht="15" customHeight="1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31">
        <v>3</v>
      </c>
      <c r="L35" s="27">
        <v>2</v>
      </c>
      <c r="M35" s="27">
        <v>5</v>
      </c>
      <c r="N35" s="32">
        <v>3</v>
      </c>
      <c r="O35" s="72">
        <f>'Полученные значения'!O26</f>
        <v>91</v>
      </c>
      <c r="P35" s="71">
        <f t="shared" si="17"/>
        <v>90.560000000000059</v>
      </c>
      <c r="Q35" s="71">
        <f t="shared" si="14"/>
        <v>0.43999999999994088</v>
      </c>
      <c r="R35" s="71">
        <f t="shared" si="15"/>
        <v>90.740000000000009</v>
      </c>
      <c r="S35" s="71">
        <f t="shared" si="16"/>
        <v>-0.25999999999999091</v>
      </c>
      <c r="T35" s="71">
        <f t="shared" si="13"/>
        <v>47.334399999999938</v>
      </c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1"/>
      <c r="AL35" s="1"/>
      <c r="AM35" s="1"/>
      <c r="AN35" s="1"/>
      <c r="AO35" s="1"/>
      <c r="AP35" s="1"/>
      <c r="AQ35" s="1"/>
      <c r="AR35" s="1"/>
    </row>
    <row r="36" spans="1:44" ht="15" customHeight="1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31">
        <v>4</v>
      </c>
      <c r="L36" s="27">
        <v>1</v>
      </c>
      <c r="M36" s="27">
        <v>1</v>
      </c>
      <c r="N36" s="32">
        <v>3</v>
      </c>
      <c r="O36" s="72">
        <f>'Полученные значения'!S6</f>
        <v>71</v>
      </c>
      <c r="P36" s="71">
        <f t="shared" si="17"/>
        <v>70.480000000000047</v>
      </c>
      <c r="Q36" s="71">
        <f t="shared" si="14"/>
        <v>0.51999999999995339</v>
      </c>
      <c r="R36" s="71">
        <f t="shared" si="15"/>
        <v>70.66</v>
      </c>
      <c r="S36" s="71">
        <f t="shared" si="16"/>
        <v>-0.34000000000000341</v>
      </c>
      <c r="T36" s="71">
        <f t="shared" si="13"/>
        <v>172.13440000000011</v>
      </c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1"/>
      <c r="AL36" s="1"/>
      <c r="AM36" s="1"/>
      <c r="AN36" s="1"/>
      <c r="AO36" s="1"/>
      <c r="AP36" s="1"/>
      <c r="AQ36" s="1"/>
      <c r="AR36" s="1"/>
    </row>
    <row r="37" spans="1:44" ht="15" customHeight="1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31">
        <v>4</v>
      </c>
      <c r="L37" s="27">
        <v>2</v>
      </c>
      <c r="M37" s="27">
        <v>2</v>
      </c>
      <c r="N37" s="32">
        <v>4</v>
      </c>
      <c r="O37" s="72">
        <f>'Полученные значения'!T12</f>
        <v>96</v>
      </c>
      <c r="P37" s="71">
        <f t="shared" si="17"/>
        <v>95.640000000000072</v>
      </c>
      <c r="Q37" s="71">
        <f t="shared" si="14"/>
        <v>0.35999999999992838</v>
      </c>
      <c r="R37" s="71">
        <f t="shared" si="15"/>
        <v>95.820000000000022</v>
      </c>
      <c r="S37" s="71">
        <f t="shared" si="16"/>
        <v>-0.1799999999999784</v>
      </c>
      <c r="T37" s="71">
        <f t="shared" si="13"/>
        <v>141.13439999999989</v>
      </c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1"/>
      <c r="AL37" s="1"/>
      <c r="AM37" s="1"/>
      <c r="AN37" s="1"/>
      <c r="AO37" s="1"/>
      <c r="AP37" s="1"/>
      <c r="AQ37" s="1"/>
      <c r="AR37" s="1"/>
    </row>
    <row r="38" spans="1:44" ht="15" customHeight="1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31">
        <v>4</v>
      </c>
      <c r="L38" s="27">
        <v>3</v>
      </c>
      <c r="M38" s="27">
        <v>3</v>
      </c>
      <c r="N38" s="32">
        <v>5</v>
      </c>
      <c r="O38" s="72">
        <f>'Полученные значения'!U18</f>
        <v>122</v>
      </c>
      <c r="P38" s="71">
        <f t="shared" si="17"/>
        <v>120.80000000000007</v>
      </c>
      <c r="Q38" s="71">
        <f t="shared" si="14"/>
        <v>1.1999999999999318</v>
      </c>
      <c r="R38" s="71">
        <f t="shared" si="15"/>
        <v>120.98000000000002</v>
      </c>
      <c r="S38" s="71">
        <f t="shared" si="16"/>
        <v>-1.0199999999999818</v>
      </c>
      <c r="T38" s="71">
        <f t="shared" si="13"/>
        <v>1434.8943999999997</v>
      </c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1"/>
      <c r="AL38" s="1"/>
      <c r="AM38" s="1"/>
      <c r="AN38" s="1"/>
      <c r="AO38" s="1"/>
      <c r="AP38" s="1"/>
      <c r="AQ38" s="1"/>
      <c r="AR38" s="1"/>
    </row>
    <row r="39" spans="1:44" ht="15" customHeight="1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31">
        <v>4</v>
      </c>
      <c r="L39" s="27">
        <v>5</v>
      </c>
      <c r="M39" s="27">
        <v>4</v>
      </c>
      <c r="N39" s="32">
        <v>2</v>
      </c>
      <c r="O39" s="72">
        <f>'Полученные значения'!W20</f>
        <v>82</v>
      </c>
      <c r="P39" s="71">
        <f t="shared" si="17"/>
        <v>81.100000000000037</v>
      </c>
      <c r="Q39" s="71">
        <f t="shared" si="14"/>
        <v>0.89999999999996305</v>
      </c>
      <c r="R39" s="71">
        <f t="shared" si="15"/>
        <v>81.279999999999987</v>
      </c>
      <c r="S39" s="71">
        <f t="shared" si="16"/>
        <v>-0.72000000000001307</v>
      </c>
      <c r="T39" s="71">
        <f t="shared" si="13"/>
        <v>4.4944000000000193</v>
      </c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1"/>
      <c r="AL39" s="1"/>
      <c r="AM39" s="1"/>
      <c r="AN39" s="1"/>
      <c r="AO39" s="1"/>
      <c r="AP39" s="1"/>
      <c r="AQ39" s="1"/>
      <c r="AR39" s="1"/>
    </row>
    <row r="40" spans="1:44" ht="15" customHeight="1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31">
        <v>4</v>
      </c>
      <c r="L40" s="27">
        <v>4</v>
      </c>
      <c r="M40" s="27">
        <v>5</v>
      </c>
      <c r="N40" s="32">
        <v>1</v>
      </c>
      <c r="O40" s="72">
        <f>'Полученные значения'!V24</f>
        <v>65</v>
      </c>
      <c r="P40" s="71">
        <f t="shared" si="17"/>
        <v>65.78000000000003</v>
      </c>
      <c r="Q40" s="71">
        <f t="shared" si="14"/>
        <v>-0.78000000000002956</v>
      </c>
      <c r="R40" s="71">
        <f t="shared" si="15"/>
        <v>65.95999999999998</v>
      </c>
      <c r="S40" s="71">
        <f t="shared" si="16"/>
        <v>0.95999999999997954</v>
      </c>
      <c r="T40" s="71">
        <f t="shared" si="13"/>
        <v>365.5744000000002</v>
      </c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1"/>
      <c r="AL40" s="1"/>
      <c r="AM40" s="1"/>
      <c r="AN40" s="1"/>
      <c r="AO40" s="1"/>
      <c r="AP40" s="1"/>
      <c r="AQ40" s="1"/>
      <c r="AR40" s="1"/>
    </row>
    <row r="41" spans="1:44" ht="15" customHeight="1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31">
        <v>5</v>
      </c>
      <c r="L41" s="27">
        <v>2</v>
      </c>
      <c r="M41" s="27">
        <v>1</v>
      </c>
      <c r="N41" s="32">
        <v>2</v>
      </c>
      <c r="O41" s="72">
        <f>'Полученные значения'!Y5</f>
        <v>59</v>
      </c>
      <c r="P41" s="71">
        <f t="shared" si="17"/>
        <v>59.500000000000036</v>
      </c>
      <c r="Q41" s="71">
        <f t="shared" si="14"/>
        <v>-0.50000000000003553</v>
      </c>
      <c r="R41" s="71">
        <f t="shared" si="15"/>
        <v>59.679999999999986</v>
      </c>
      <c r="S41" s="71">
        <f t="shared" si="16"/>
        <v>0.6799999999999855</v>
      </c>
      <c r="T41" s="71">
        <f t="shared" si="13"/>
        <v>631.01440000000025</v>
      </c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1"/>
      <c r="AL41" s="1"/>
      <c r="AM41" s="1"/>
      <c r="AN41" s="1"/>
      <c r="AO41" s="1"/>
      <c r="AP41" s="1"/>
      <c r="AQ41" s="1"/>
      <c r="AR41" s="1"/>
    </row>
    <row r="42" spans="1:44" ht="15" customHeight="1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31">
        <v>5</v>
      </c>
      <c r="L42" s="27">
        <v>3</v>
      </c>
      <c r="M42" s="27">
        <v>2</v>
      </c>
      <c r="N42" s="32">
        <v>3</v>
      </c>
      <c r="O42" s="72">
        <f>'Полученные значения'!Z11</f>
        <v>85</v>
      </c>
      <c r="P42" s="71">
        <f t="shared" si="17"/>
        <v>84.660000000000053</v>
      </c>
      <c r="Q42" s="71">
        <f t="shared" si="14"/>
        <v>0.33999999999994657</v>
      </c>
      <c r="R42" s="71">
        <f t="shared" si="15"/>
        <v>84.84</v>
      </c>
      <c r="S42" s="71">
        <f t="shared" si="16"/>
        <v>-0.15999999999999659</v>
      </c>
      <c r="T42" s="71">
        <f t="shared" si="13"/>
        <v>0.77439999999999198</v>
      </c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1"/>
      <c r="AL42" s="1"/>
      <c r="AM42" s="1"/>
      <c r="AN42" s="1"/>
      <c r="AO42" s="1"/>
      <c r="AP42" s="1"/>
      <c r="AQ42" s="1"/>
      <c r="AR42" s="1"/>
    </row>
    <row r="43" spans="1:44" ht="15" customHeight="1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31">
        <v>5</v>
      </c>
      <c r="L43" s="27">
        <v>4</v>
      </c>
      <c r="M43" s="27">
        <v>3</v>
      </c>
      <c r="N43" s="32">
        <v>4</v>
      </c>
      <c r="O43" s="72">
        <f>'Полученные значения'!AA17</f>
        <v>109</v>
      </c>
      <c r="P43" s="71">
        <f t="shared" si="17"/>
        <v>109.82000000000008</v>
      </c>
      <c r="Q43" s="71">
        <f t="shared" si="14"/>
        <v>-0.82000000000007844</v>
      </c>
      <c r="R43" s="71">
        <f t="shared" si="15"/>
        <v>110.00000000000003</v>
      </c>
      <c r="S43" s="71">
        <f t="shared" si="16"/>
        <v>1.0000000000000284</v>
      </c>
      <c r="T43" s="71">
        <f t="shared" si="13"/>
        <v>619.0143999999998</v>
      </c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1"/>
      <c r="AL43" s="1"/>
      <c r="AM43" s="1"/>
      <c r="AN43" s="1"/>
      <c r="AO43" s="1"/>
      <c r="AP43" s="1"/>
      <c r="AQ43" s="1"/>
      <c r="AR43" s="1"/>
    </row>
    <row r="44" spans="1:44" ht="15" customHeight="1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31">
        <v>5</v>
      </c>
      <c r="L44" s="27">
        <v>1</v>
      </c>
      <c r="M44" s="27">
        <v>4</v>
      </c>
      <c r="N44" s="32">
        <v>1</v>
      </c>
      <c r="O44" s="72">
        <f>'Полученные значения'!X19</f>
        <v>54</v>
      </c>
      <c r="P44" s="71">
        <f t="shared" si="17"/>
        <v>54.020000000000017</v>
      </c>
      <c r="Q44" s="71">
        <f t="shared" si="14"/>
        <v>-2.0000000000017337E-2</v>
      </c>
      <c r="R44" s="71">
        <f t="shared" si="15"/>
        <v>54.199999999999967</v>
      </c>
      <c r="S44" s="71">
        <f t="shared" si="16"/>
        <v>0.19999999999996732</v>
      </c>
      <c r="T44" s="71">
        <f t="shared" si="13"/>
        <v>907.2144000000003</v>
      </c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1"/>
      <c r="AL44" s="1"/>
      <c r="AM44" s="1"/>
      <c r="AN44" s="1"/>
      <c r="AO44" s="1"/>
      <c r="AP44" s="1"/>
      <c r="AQ44" s="1"/>
      <c r="AR44" s="1"/>
    </row>
    <row r="45" spans="1:44" ht="15" customHeight="1" thickBot="1" x14ac:dyDescent="0.3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33">
        <v>5</v>
      </c>
      <c r="L45" s="34">
        <v>5</v>
      </c>
      <c r="M45" s="34">
        <v>5</v>
      </c>
      <c r="N45" s="35">
        <v>5</v>
      </c>
      <c r="O45" s="73">
        <f>'Полученные значения'!AB28</f>
        <v>140</v>
      </c>
      <c r="P45" s="87">
        <f>SUMPRODUCT($B$21:$E$21,K45:N45)</f>
        <v>139.90000000000009</v>
      </c>
      <c r="Q45" s="87">
        <f t="shared" si="14"/>
        <v>9.9999999999909051E-2</v>
      </c>
      <c r="R45" s="87">
        <f t="shared" si="15"/>
        <v>140.08000000000004</v>
      </c>
      <c r="S45" s="87">
        <f t="shared" si="16"/>
        <v>8.0000000000040927E-2</v>
      </c>
      <c r="T45" s="87">
        <f t="shared" si="13"/>
        <v>3122.5743999999995</v>
      </c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1"/>
      <c r="AL45" s="1"/>
      <c r="AM45" s="1"/>
      <c r="AN45" s="1"/>
      <c r="AO45" s="1"/>
      <c r="AP45" s="1"/>
      <c r="AQ45" s="1"/>
      <c r="AR45" s="1"/>
    </row>
    <row r="46" spans="1:44" ht="15" customHeight="1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1"/>
      <c r="AL46" s="1"/>
      <c r="AM46" s="1"/>
      <c r="AN46" s="1"/>
      <c r="AO46" s="1"/>
      <c r="AP46" s="1"/>
      <c r="AQ46" s="1"/>
      <c r="AR46" s="1"/>
    </row>
    <row r="47" spans="1:44" ht="15" customHeight="1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1"/>
      <c r="AL47" s="1"/>
      <c r="AM47" s="1"/>
      <c r="AN47" s="1"/>
      <c r="AO47" s="1"/>
      <c r="AP47" s="1"/>
      <c r="AQ47" s="1"/>
      <c r="AR47" s="1"/>
    </row>
    <row r="48" spans="1:44" ht="15" customHeight="1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1"/>
      <c r="AL48" s="1"/>
      <c r="AM48" s="1"/>
      <c r="AN48" s="1"/>
      <c r="AO48" s="1"/>
      <c r="AP48" s="1"/>
      <c r="AQ48" s="1"/>
      <c r="AR48" s="1"/>
    </row>
    <row r="49" spans="1:36" ht="1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93"/>
    </row>
    <row r="50" spans="1:36" ht="1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93"/>
    </row>
    <row r="51" spans="1:36" ht="1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</row>
    <row r="52" spans="1:36" ht="1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</row>
    <row r="53" spans="1:36" ht="1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</row>
    <row r="54" spans="1:36" ht="1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</row>
    <row r="55" spans="1:36" ht="1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</row>
    <row r="56" spans="1:36" ht="1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</row>
    <row r="57" spans="1:36" ht="1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</row>
    <row r="58" spans="1:36" ht="1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</row>
    <row r="59" spans="1:36" ht="1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</row>
    <row r="60" spans="1:36" ht="1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1:36" ht="1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 spans="1:36" ht="1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</row>
    <row r="63" spans="1:36" ht="1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</row>
    <row r="64" spans="1:36" ht="1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</row>
    <row r="65" spans="1:35" ht="1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</row>
    <row r="66" spans="1:35" ht="1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</row>
    <row r="67" spans="1:35" ht="1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</row>
    <row r="68" spans="1:35" ht="1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</row>
    <row r="69" spans="1:35" ht="1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</row>
    <row r="70" spans="1:35" ht="1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</row>
    <row r="71" spans="1:35" ht="1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</row>
    <row r="72" spans="1:35" ht="1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</row>
    <row r="73" spans="1:35" ht="1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</row>
    <row r="74" spans="1:35" ht="1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</row>
    <row r="75" spans="1:35" ht="1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</row>
    <row r="76" spans="1:35" ht="1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</row>
    <row r="77" spans="1:35" ht="18.7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</row>
    <row r="78" spans="1:35" ht="18.7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</row>
    <row r="79" spans="1:35" ht="18.7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</row>
    <row r="80" spans="1:35" ht="18.7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</row>
    <row r="81" spans="1:35" ht="18.7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</row>
    <row r="82" spans="1:35" ht="18.7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</row>
    <row r="83" spans="1:35" ht="18.7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</row>
    <row r="84" spans="1:35" ht="18.7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</row>
    <row r="85" spans="1:35" ht="18.7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</row>
    <row r="86" spans="1:35" ht="18.7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</row>
    <row r="87" spans="1:35" ht="18.7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</row>
    <row r="88" spans="1:35" ht="18.7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</row>
    <row r="89" spans="1:35" ht="18.7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</row>
    <row r="90" spans="1:35" ht="18.7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</row>
    <row r="91" spans="1:35" ht="18.7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</row>
    <row r="92" spans="1:35" ht="18.7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</row>
    <row r="93" spans="1:35" ht="18.7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ht="18.7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</row>
    <row r="95" spans="1:35" ht="18.7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</row>
    <row r="96" spans="1:35" ht="18.7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</row>
    <row r="97" spans="1:35" ht="18.7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</row>
    <row r="98" spans="1:35" ht="18.7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</row>
    <row r="99" spans="1:35" ht="18.7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</row>
    <row r="100" spans="1:35" ht="18.7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</row>
    <row r="101" spans="1:35" ht="18.7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</row>
    <row r="102" spans="1:35" ht="18.7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</row>
    <row r="103" spans="1:35" ht="18.7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</row>
    <row r="104" spans="1:35" ht="18.7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</row>
    <row r="105" spans="1:35" ht="18.7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</row>
    <row r="106" spans="1:35" ht="18.7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</row>
    <row r="107" spans="1:35" ht="18.7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</row>
    <row r="108" spans="1:35" ht="18.7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</row>
    <row r="109" spans="1:35" ht="18.7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</row>
    <row r="110" spans="1:35" ht="18.7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</row>
    <row r="111" spans="1:35" ht="18.7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</row>
    <row r="112" spans="1:35" ht="18.7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</row>
    <row r="113" spans="1:35" ht="18.7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</row>
    <row r="114" spans="1:35" ht="18.7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</row>
    <row r="115" spans="1:35" ht="18.7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</row>
  </sheetData>
  <mergeCells count="15">
    <mergeCell ref="B28:F29"/>
    <mergeCell ref="B23:F23"/>
    <mergeCell ref="B22:F22"/>
    <mergeCell ref="J3:J7"/>
    <mergeCell ref="J10:J18"/>
    <mergeCell ref="B2:B3"/>
    <mergeCell ref="B11:B12"/>
    <mergeCell ref="K10:N18"/>
    <mergeCell ref="O10:R18"/>
    <mergeCell ref="S10:V18"/>
    <mergeCell ref="W10:Z18"/>
    <mergeCell ref="C2:G2"/>
    <mergeCell ref="H2:H3"/>
    <mergeCell ref="H11:H12"/>
    <mergeCell ref="C11:G1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78FC-579F-4A97-A0DB-2ABD77EC64B5}">
  <dimension ref="A1:AZ301"/>
  <sheetViews>
    <sheetView tabSelected="1" zoomScale="50" zoomScaleNormal="50" workbookViewId="0">
      <selection activeCell="T5" sqref="T5"/>
    </sheetView>
  </sheetViews>
  <sheetFormatPr defaultRowHeight="15" x14ac:dyDescent="0.25"/>
  <cols>
    <col min="1" max="11" width="10.7109375" customWidth="1"/>
    <col min="12" max="12" width="40.7109375" customWidth="1"/>
    <col min="13" max="18" width="20.7109375" customWidth="1"/>
    <col min="19" max="19" width="10.7109375" customWidth="1"/>
    <col min="20" max="20" width="30.7109375" customWidth="1"/>
    <col min="21" max="28" width="10.7109375" customWidth="1"/>
  </cols>
  <sheetData>
    <row r="1" spans="1:52" ht="19.899999999999999" customHeight="1" thickBo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9.899999999999999" customHeight="1" thickBot="1" x14ac:dyDescent="0.35">
      <c r="A2" s="22"/>
      <c r="B2" s="95" t="s">
        <v>11</v>
      </c>
      <c r="C2" s="96" t="s">
        <v>12</v>
      </c>
      <c r="D2" s="96" t="s">
        <v>13</v>
      </c>
      <c r="E2" s="97" t="s">
        <v>14</v>
      </c>
      <c r="F2" s="98" t="s">
        <v>45</v>
      </c>
      <c r="G2" s="22"/>
      <c r="H2" s="113" t="s">
        <v>31</v>
      </c>
      <c r="I2" s="114" t="s">
        <v>56</v>
      </c>
      <c r="J2" s="115" t="s">
        <v>57</v>
      </c>
      <c r="K2" s="22"/>
      <c r="L2" s="100" t="s">
        <v>58</v>
      </c>
      <c r="M2" s="5" t="s">
        <v>11</v>
      </c>
      <c r="N2" s="6" t="s">
        <v>12</v>
      </c>
      <c r="O2" s="6" t="s">
        <v>13</v>
      </c>
      <c r="P2" s="7" t="s">
        <v>14</v>
      </c>
      <c r="Q2" s="86" t="s">
        <v>18</v>
      </c>
      <c r="R2" s="102" t="s">
        <v>59</v>
      </c>
      <c r="S2" s="22"/>
      <c r="T2" s="78"/>
      <c r="U2" s="89" t="s">
        <v>11</v>
      </c>
      <c r="V2" s="6" t="s">
        <v>12</v>
      </c>
      <c r="W2" s="6" t="s">
        <v>13</v>
      </c>
      <c r="X2" s="99" t="s">
        <v>14</v>
      </c>
      <c r="Y2" s="86" t="s">
        <v>62</v>
      </c>
      <c r="Z2" s="22"/>
      <c r="AA2" s="22"/>
      <c r="AB2" s="22"/>
      <c r="AC2" s="22"/>
      <c r="AD2" s="22"/>
      <c r="AE2" s="22"/>
      <c r="AF2" s="22"/>
      <c r="AG2" s="22"/>
      <c r="AH2" s="22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9.899999999999999" customHeight="1" thickBot="1" x14ac:dyDescent="0.35">
      <c r="A3" s="22"/>
      <c r="B3" s="66">
        <v>1</v>
      </c>
      <c r="C3" s="67">
        <v>3</v>
      </c>
      <c r="D3" s="67">
        <v>1</v>
      </c>
      <c r="E3" s="68">
        <v>1</v>
      </c>
      <c r="F3" s="71">
        <f>'Лабораторная работа 2'!P21+'Лабораторная работа 2'!$F$21</f>
        <v>34.599999999999966</v>
      </c>
      <c r="G3" s="22"/>
      <c r="H3" s="110">
        <v>1</v>
      </c>
      <c r="I3" s="111">
        <v>0.5</v>
      </c>
      <c r="J3" s="112">
        <v>0.5</v>
      </c>
      <c r="K3" s="22"/>
      <c r="L3" s="184">
        <v>0</v>
      </c>
      <c r="M3" s="66">
        <f>-J3</f>
        <v>-0.5</v>
      </c>
      <c r="N3" s="67">
        <f>-J4</f>
        <v>-0.28867513</v>
      </c>
      <c r="O3" s="67">
        <f>-J5</f>
        <v>-0.20412415</v>
      </c>
      <c r="P3" s="68">
        <f>-J6</f>
        <v>-0.15811388000000001</v>
      </c>
      <c r="Q3" s="71">
        <f>SUMPRODUCT($B$30:$E$30,M3:P3)+$F$30</f>
        <v>-5.8549229742000541</v>
      </c>
      <c r="R3" s="187">
        <f>MAX(Q3:Q7)-MIN(Q3:Q7)</f>
        <v>16.799392174200015</v>
      </c>
      <c r="S3" s="22"/>
      <c r="T3" s="103" t="s">
        <v>63</v>
      </c>
      <c r="U3" s="130" cm="1">
        <f t="array" aca="1" ref="U3" ca="1">INDIRECT("M" &amp; MAX(IF(Q:Q=Y3, ROW(Q:Q), )))</f>
        <v>4.7725691298701198</v>
      </c>
      <c r="V3" s="130" cm="1">
        <f t="array" aca="1" ref="V3" ca="1">INDIRECT("N" &amp; MAX(IF(Q:Q=Y3, ROW(Q:Q), )))</f>
        <v>4.8711110806548872</v>
      </c>
      <c r="W3" s="130" cm="1">
        <f t="array" aca="1" ref="W3" ca="1">INDIRECT("O" &amp; MAX(IF(Q:Q=Y3, ROW(Q:Q), )))</f>
        <v>4.9261657922271027</v>
      </c>
      <c r="X3" s="130" cm="1">
        <f t="array" aca="1" ref="X3" ca="1">INDIRECT("P" &amp; MAX(IF(Q:Q=Y3, ROW(Q:Q), )))</f>
        <v>5</v>
      </c>
      <c r="Y3" s="87">
        <f ca="1">MAX(INDIRECT("Q" &amp; COUNTA(P:P)-5):INDIRECT("Q" &amp; COUNTA(P:P)-1))</f>
        <v>138.66035832369985</v>
      </c>
      <c r="Z3" s="22"/>
      <c r="AA3" s="22"/>
      <c r="AB3" s="22"/>
      <c r="AC3" s="22"/>
      <c r="AD3" s="22"/>
      <c r="AE3" s="22"/>
      <c r="AF3" s="22"/>
      <c r="AG3" s="22"/>
      <c r="AH3" s="22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9.899999999999999" customHeight="1" x14ac:dyDescent="0.3">
      <c r="A4" s="22"/>
      <c r="B4" s="31">
        <v>1</v>
      </c>
      <c r="C4" s="27">
        <v>4</v>
      </c>
      <c r="D4" s="27">
        <v>2</v>
      </c>
      <c r="E4" s="32">
        <v>2</v>
      </c>
      <c r="F4" s="71">
        <f>'Лабораторная работа 2'!P22+'Лабораторная работа 2'!$F$21</f>
        <v>59.759999999999984</v>
      </c>
      <c r="G4" s="22"/>
      <c r="H4" s="108">
        <v>2</v>
      </c>
      <c r="I4" s="106">
        <v>0.57735000000000003</v>
      </c>
      <c r="J4" s="104">
        <v>0.28867513</v>
      </c>
      <c r="K4" s="22"/>
      <c r="L4" s="185"/>
      <c r="M4" s="31">
        <f>I3</f>
        <v>0.5</v>
      </c>
      <c r="N4" s="27">
        <f>-J4</f>
        <v>-0.28867513</v>
      </c>
      <c r="O4" s="27">
        <f>-J5</f>
        <v>-0.20412415</v>
      </c>
      <c r="P4" s="32">
        <f>-J6</f>
        <v>-0.15811388000000001</v>
      </c>
      <c r="Q4" s="72">
        <f t="shared" ref="Q4:Q7" si="0">SUMPRODUCT($B$30:$E$30,M4:P4)+$F$30</f>
        <v>-3.0349229742000543</v>
      </c>
      <c r="R4" s="183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9.899999999999999" customHeight="1" x14ac:dyDescent="0.3">
      <c r="A5" s="22"/>
      <c r="B5" s="31">
        <v>1</v>
      </c>
      <c r="C5" s="27">
        <v>5</v>
      </c>
      <c r="D5" s="27">
        <v>3</v>
      </c>
      <c r="E5" s="32">
        <v>3</v>
      </c>
      <c r="F5" s="71">
        <f>'Лабораторная работа 2'!P23+'Лабораторная работа 2'!$F$21</f>
        <v>84.92</v>
      </c>
      <c r="G5" s="22"/>
      <c r="H5" s="108">
        <v>3</v>
      </c>
      <c r="I5" s="106">
        <v>0.61236999999999997</v>
      </c>
      <c r="J5" s="104">
        <v>0.20412415</v>
      </c>
      <c r="K5" s="22"/>
      <c r="L5" s="185"/>
      <c r="M5" s="31">
        <v>0</v>
      </c>
      <c r="N5" s="27">
        <f>I4</f>
        <v>0.57735000000000003</v>
      </c>
      <c r="O5" s="27">
        <f>-J5</f>
        <v>-0.20412415</v>
      </c>
      <c r="P5" s="32">
        <f>-J6</f>
        <v>-0.15811388000000001</v>
      </c>
      <c r="Q5" s="72">
        <f t="shared" si="0"/>
        <v>-1.656322055600054</v>
      </c>
      <c r="R5" s="183"/>
      <c r="S5" s="22"/>
      <c r="T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9.899999999999999" customHeight="1" thickBot="1" x14ac:dyDescent="0.35">
      <c r="A6" s="22"/>
      <c r="B6" s="31">
        <v>1</v>
      </c>
      <c r="C6" s="27">
        <v>2</v>
      </c>
      <c r="D6" s="27">
        <v>4</v>
      </c>
      <c r="E6" s="32">
        <v>5</v>
      </c>
      <c r="F6" s="71">
        <f>'Лабораторная работа 2'!P24+'Лабораторная работа 2'!$F$21</f>
        <v>114.22000000000003</v>
      </c>
      <c r="G6" s="22"/>
      <c r="H6" s="109">
        <v>4</v>
      </c>
      <c r="I6" s="107">
        <v>0.63246000000000002</v>
      </c>
      <c r="J6" s="105">
        <v>0.15811388000000001</v>
      </c>
      <c r="K6" s="22"/>
      <c r="L6" s="185"/>
      <c r="M6" s="31">
        <v>0</v>
      </c>
      <c r="N6" s="27">
        <v>0</v>
      </c>
      <c r="O6" s="27">
        <f>I5</f>
        <v>0.61236999999999997</v>
      </c>
      <c r="P6" s="32">
        <f>-J6</f>
        <v>-0.15811388000000001</v>
      </c>
      <c r="Q6" s="72">
        <f t="shared" si="0"/>
        <v>0.50176216239994553</v>
      </c>
      <c r="R6" s="183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9.899999999999999" customHeight="1" thickBot="1" x14ac:dyDescent="0.35">
      <c r="A7" s="22"/>
      <c r="B7" s="31">
        <v>1</v>
      </c>
      <c r="C7" s="27">
        <v>1</v>
      </c>
      <c r="D7" s="27">
        <v>5</v>
      </c>
      <c r="E7" s="32">
        <v>4</v>
      </c>
      <c r="F7" s="71">
        <f>'Лабораторная работа 2'!P25+'Лабораторная работа 2'!$F$21</f>
        <v>98.90000000000002</v>
      </c>
      <c r="G7" s="22"/>
      <c r="H7" s="22"/>
      <c r="I7" s="22"/>
      <c r="J7" s="22"/>
      <c r="K7" s="22"/>
      <c r="L7" s="186"/>
      <c r="M7" s="88">
        <v>0</v>
      </c>
      <c r="N7" s="76">
        <v>0</v>
      </c>
      <c r="O7" s="76">
        <v>0</v>
      </c>
      <c r="P7" s="77">
        <f>I6</f>
        <v>0.63246000000000002</v>
      </c>
      <c r="Q7" s="74">
        <f t="shared" si="0"/>
        <v>10.944469199999959</v>
      </c>
      <c r="R7" s="188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9.899999999999999" customHeight="1" x14ac:dyDescent="0.3">
      <c r="A8" s="22"/>
      <c r="B8" s="31">
        <v>2</v>
      </c>
      <c r="C8" s="27">
        <v>5</v>
      </c>
      <c r="D8" s="27">
        <v>1</v>
      </c>
      <c r="E8" s="32">
        <v>4</v>
      </c>
      <c r="F8" s="71">
        <f>'Лабораторная работа 2'!P26+'Лабораторная работа 2'!$F$21</f>
        <v>94.920000000000016</v>
      </c>
      <c r="G8" s="22"/>
      <c r="H8" s="22"/>
      <c r="I8" s="22"/>
      <c r="J8" s="22"/>
      <c r="K8" s="22"/>
      <c r="L8" s="147">
        <v>1</v>
      </c>
      <c r="M8" s="116">
        <f>M3+3</f>
        <v>2.5</v>
      </c>
      <c r="N8" s="49">
        <f t="shared" ref="N8:P8" si="1">N3+3</f>
        <v>2.7113248699999999</v>
      </c>
      <c r="O8" s="49">
        <f t="shared" si="1"/>
        <v>2.7958758499999998</v>
      </c>
      <c r="P8" s="117">
        <f t="shared" si="1"/>
        <v>2.8418861199999998</v>
      </c>
      <c r="Q8" s="118">
        <f>SUMPRODUCT($B$30:$E$30,M8:P8)+$F$30</f>
        <v>78.08507702579999</v>
      </c>
      <c r="R8" s="147">
        <f>MAX(Q8:Q12)-MIN(Q8:Q12)</f>
        <v>16.799392174200023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9.899999999999999" customHeight="1" x14ac:dyDescent="0.3">
      <c r="A9" s="22"/>
      <c r="B9" s="31">
        <v>2</v>
      </c>
      <c r="C9" s="27">
        <v>1</v>
      </c>
      <c r="D9" s="27">
        <v>2</v>
      </c>
      <c r="E9" s="32">
        <v>5</v>
      </c>
      <c r="F9" s="71">
        <f>'Лабораторная работа 2'!P27+'Лабораторная работа 2'!$F$21</f>
        <v>103.98000000000003</v>
      </c>
      <c r="G9" s="22"/>
      <c r="H9" s="22"/>
      <c r="I9" s="22"/>
      <c r="J9" s="22"/>
      <c r="K9" s="22"/>
      <c r="L9" s="148"/>
      <c r="M9" s="70">
        <f t="shared" ref="M9:P9" si="2">M4+3</f>
        <v>3.5</v>
      </c>
      <c r="N9" s="27">
        <f t="shared" si="2"/>
        <v>2.7113248699999999</v>
      </c>
      <c r="O9" s="27">
        <f t="shared" si="2"/>
        <v>2.7958758499999998</v>
      </c>
      <c r="P9" s="81">
        <f t="shared" si="2"/>
        <v>2.8418861199999998</v>
      </c>
      <c r="Q9" s="119">
        <f t="shared" ref="Q9:Q11" si="3">SUMPRODUCT($B$30:$E$30,M9:P9)+$F$30</f>
        <v>80.905077025799997</v>
      </c>
      <c r="R9" s="148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9.899999999999999" customHeight="1" x14ac:dyDescent="0.3">
      <c r="A10" s="22"/>
      <c r="B10" s="31">
        <v>2</v>
      </c>
      <c r="C10" s="27">
        <v>2</v>
      </c>
      <c r="D10" s="27">
        <v>3</v>
      </c>
      <c r="E10" s="32">
        <v>1</v>
      </c>
      <c r="F10" s="71">
        <f>'Лабораторная работа 2'!P28+'Лабораторная работа 2'!$F$21</f>
        <v>44.039999999999964</v>
      </c>
      <c r="G10" s="22"/>
      <c r="H10" s="22"/>
      <c r="I10" s="22"/>
      <c r="J10" s="22"/>
      <c r="K10" s="22"/>
      <c r="L10" s="148"/>
      <c r="M10" s="70">
        <f t="shared" ref="M10:P10" si="4">M5+3</f>
        <v>3</v>
      </c>
      <c r="N10" s="27">
        <f t="shared" si="4"/>
        <v>3.57735</v>
      </c>
      <c r="O10" s="27">
        <f t="shared" si="4"/>
        <v>2.7958758499999998</v>
      </c>
      <c r="P10" s="81">
        <f t="shared" si="4"/>
        <v>2.8418861199999998</v>
      </c>
      <c r="Q10" s="119">
        <f t="shared" si="3"/>
        <v>82.283677944399997</v>
      </c>
      <c r="R10" s="148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9.899999999999999" customHeight="1" x14ac:dyDescent="0.3">
      <c r="A11" s="22"/>
      <c r="B11" s="31">
        <v>2</v>
      </c>
      <c r="C11" s="27">
        <v>4</v>
      </c>
      <c r="D11" s="27">
        <v>4</v>
      </c>
      <c r="E11" s="32">
        <v>3</v>
      </c>
      <c r="F11" s="71">
        <f>'Лабораторная работа 2'!P29+'Лабораторная работа 2'!$F$21</f>
        <v>89.44</v>
      </c>
      <c r="G11" s="22"/>
      <c r="H11" s="22"/>
      <c r="I11" s="22"/>
      <c r="J11" s="22"/>
      <c r="K11" s="22"/>
      <c r="L11" s="148"/>
      <c r="M11" s="70">
        <f t="shared" ref="M11:P11" si="5">M6+3</f>
        <v>3</v>
      </c>
      <c r="N11" s="27">
        <f t="shared" si="5"/>
        <v>3</v>
      </c>
      <c r="O11" s="27">
        <f t="shared" si="5"/>
        <v>3.6123699999999999</v>
      </c>
      <c r="P11" s="81">
        <f t="shared" si="5"/>
        <v>2.8418861199999998</v>
      </c>
      <c r="Q11" s="119">
        <f t="shared" si="3"/>
        <v>84.441762162399996</v>
      </c>
      <c r="R11" s="148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9.899999999999999" customHeight="1" thickBot="1" x14ac:dyDescent="0.35">
      <c r="A12" s="22"/>
      <c r="B12" s="31">
        <v>2</v>
      </c>
      <c r="C12" s="27">
        <v>3</v>
      </c>
      <c r="D12" s="27">
        <v>5</v>
      </c>
      <c r="E12" s="32">
        <v>2</v>
      </c>
      <c r="F12" s="71">
        <f>'Лабораторная работа 2'!P30+'Лабораторная работа 2'!$F$21</f>
        <v>74.11999999999999</v>
      </c>
      <c r="G12" s="22"/>
      <c r="H12" s="22"/>
      <c r="I12" s="22"/>
      <c r="J12" s="22"/>
      <c r="K12" s="22"/>
      <c r="L12" s="189"/>
      <c r="M12" s="75">
        <f t="shared" ref="M12:P12" si="6">M7+3</f>
        <v>3</v>
      </c>
      <c r="N12" s="76">
        <f t="shared" si="6"/>
        <v>3</v>
      </c>
      <c r="O12" s="76">
        <f t="shared" si="6"/>
        <v>3</v>
      </c>
      <c r="P12" s="82">
        <f t="shared" si="6"/>
        <v>3.63246</v>
      </c>
      <c r="Q12" s="120">
        <f>SUMPRODUCT($B$30:$E$30,M12:P12)+$F$30</f>
        <v>94.884469200000012</v>
      </c>
      <c r="R12" s="189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9.899999999999999" customHeight="1" x14ac:dyDescent="0.3">
      <c r="A13" s="22"/>
      <c r="B13" s="31">
        <v>3</v>
      </c>
      <c r="C13" s="27">
        <v>4</v>
      </c>
      <c r="D13" s="27">
        <v>1</v>
      </c>
      <c r="E13" s="32">
        <v>5</v>
      </c>
      <c r="F13" s="71">
        <f>'Лабораторная работа 2'!P31+'Лабораторная работа 2'!$F$21</f>
        <v>111.54000000000002</v>
      </c>
      <c r="G13" s="22"/>
      <c r="H13" s="22"/>
      <c r="I13" s="22"/>
      <c r="J13" s="22"/>
      <c r="K13" s="22"/>
      <c r="L13" s="121" t="s">
        <v>60</v>
      </c>
      <c r="M13" s="122">
        <f>IF($Q8=MIN($Q8:$Q12),-M8,M8)+IF($Q9=MIN($Q8:$Q12),-M9,M9)+IF($Q10=MIN($Q8:$Q12),-M10,M10)+IF($Q11=MIN($Q8:$Q12), -M11,M11)+IF($Q12=MIN($Q8:$Q12),-M12,M12)</f>
        <v>10</v>
      </c>
      <c r="N13" s="123">
        <f>IF($Q8=MIN($Q8:$Q12),-N8,N8)+IF($Q9=MIN($Q8:$Q12),-N9,N9)+IF($Q10=MIN($Q8:$Q12),-N10,N10)+IF($Q11=MIN($Q8:$Q12), -N11,N11)+IF($Q12=MIN($Q8:$Q12),-N12,N12)</f>
        <v>9.5773499999999991</v>
      </c>
      <c r="O13" s="123">
        <f>IF($Q8=MIN($Q8:$Q12),-O8,O8)+IF($Q9=MIN($Q8:$Q12),-O9,O9)+IF($Q10=MIN($Q8:$Q12),-O10,O10)+IF($Q11=MIN($Q8:$Q12), -O11,O11)+IF($Q12=MIN($Q8:$Q12),-O12,O12)</f>
        <v>9.4082458500000001</v>
      </c>
      <c r="P13" s="124">
        <f>IF($Q8=MIN($Q8:$Q12),-P8,P8)+IF($Q9=MIN($Q8:$Q12),-P9,P9)+IF($Q10=MIN($Q8:$Q12),-P10,P10)+IF($Q11=MIN($Q8:$Q12), -P11,P11)+IF($Q12=MIN($Q8:$Q12),-P12,P12)</f>
        <v>9.3162322399999997</v>
      </c>
      <c r="Q13" s="190">
        <f>MAX(M13:P13)</f>
        <v>10</v>
      </c>
      <c r="R13" s="178">
        <f>Q13/5</f>
        <v>2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9.899999999999999" customHeight="1" thickBot="1" x14ac:dyDescent="0.35">
      <c r="A14" s="22"/>
      <c r="B14" s="31">
        <v>3</v>
      </c>
      <c r="C14" s="27">
        <v>5</v>
      </c>
      <c r="D14" s="27">
        <v>2</v>
      </c>
      <c r="E14" s="32">
        <v>1</v>
      </c>
      <c r="F14" s="71">
        <f>'Лабораторная работа 2'!P32+'Лабораторная работа 2'!$F$21</f>
        <v>51.599999999999973</v>
      </c>
      <c r="G14" s="22"/>
      <c r="H14" s="22"/>
      <c r="I14" s="22"/>
      <c r="J14" s="22"/>
      <c r="K14" s="22"/>
      <c r="L14" s="125" t="s">
        <v>61</v>
      </c>
      <c r="M14" s="126">
        <f>M13/$R13</f>
        <v>5</v>
      </c>
      <c r="N14" s="127">
        <f t="shared" ref="N14:P14" si="7">N13/$R13</f>
        <v>4.7886749999999996</v>
      </c>
      <c r="O14" s="127">
        <f t="shared" si="7"/>
        <v>4.7041229250000001</v>
      </c>
      <c r="P14" s="128">
        <f t="shared" si="7"/>
        <v>4.6581161199999999</v>
      </c>
      <c r="Q14" s="191"/>
      <c r="R14" s="179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9.899999999999999" customHeight="1" x14ac:dyDescent="0.3">
      <c r="A15" s="22"/>
      <c r="B15" s="31">
        <v>3</v>
      </c>
      <c r="C15" s="27">
        <v>1</v>
      </c>
      <c r="D15" s="27">
        <v>3</v>
      </c>
      <c r="E15" s="32">
        <v>2</v>
      </c>
      <c r="F15" s="71">
        <f>'Лабораторная работа 2'!P33+'Лабораторная работа 2'!$F$21</f>
        <v>60.659999999999982</v>
      </c>
      <c r="G15" s="22"/>
      <c r="H15" s="22"/>
      <c r="I15" s="22"/>
      <c r="J15" s="22"/>
      <c r="K15" s="22"/>
      <c r="L15" s="147">
        <v>2</v>
      </c>
      <c r="M15" s="116">
        <f>IF($Q8=MIN($Q8:$Q12),M14,M8)</f>
        <v>5</v>
      </c>
      <c r="N15" s="116">
        <f t="shared" ref="N15:P15" si="8">IF($Q8=MIN($Q8:$Q12),N14,N8)</f>
        <v>4.7886749999999996</v>
      </c>
      <c r="O15" s="116">
        <f t="shared" si="8"/>
        <v>4.7041229250000001</v>
      </c>
      <c r="P15" s="116">
        <f t="shared" si="8"/>
        <v>4.6581161199999999</v>
      </c>
      <c r="Q15" s="129">
        <f>SUMPRODUCT($B$30:$E$30,M15:P15)+$F$30</f>
        <v>132.12495465340004</v>
      </c>
      <c r="R15" s="182">
        <f>MAX(Q15:Q19)-MIN(Q15:Q19)</f>
        <v>51.219877627600042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9.899999999999999" customHeight="1" x14ac:dyDescent="0.3">
      <c r="A16" s="22"/>
      <c r="B16" s="31">
        <v>3</v>
      </c>
      <c r="C16" s="27">
        <v>3</v>
      </c>
      <c r="D16" s="27">
        <v>4</v>
      </c>
      <c r="E16" s="32">
        <v>4</v>
      </c>
      <c r="F16" s="71">
        <f>'Лабораторная работа 2'!P34+'Лабораторная работа 2'!$F$21</f>
        <v>106.06000000000002</v>
      </c>
      <c r="G16" s="22"/>
      <c r="H16" s="22"/>
      <c r="I16" s="22"/>
      <c r="J16" s="22"/>
      <c r="K16" s="22"/>
      <c r="L16" s="148"/>
      <c r="M16" s="70">
        <f>IF($Q9=MIN($Q8:$Q12),M14,M9)</f>
        <v>3.5</v>
      </c>
      <c r="N16" s="70">
        <f t="shared" ref="N16:P16" si="9">IF($Q9=MIN($Q8:$Q12),N14,N9)</f>
        <v>2.7113248699999999</v>
      </c>
      <c r="O16" s="70">
        <f t="shared" si="9"/>
        <v>2.7958758499999998</v>
      </c>
      <c r="P16" s="70">
        <f t="shared" si="9"/>
        <v>2.8418861199999998</v>
      </c>
      <c r="Q16" s="72">
        <f t="shared" ref="Q16:Q19" si="10">SUMPRODUCT($B$30:$E$30,M16:P16)+$F$30</f>
        <v>80.905077025799997</v>
      </c>
      <c r="R16" s="183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9.899999999999999" customHeight="1" x14ac:dyDescent="0.3">
      <c r="A17" s="22"/>
      <c r="B17" s="31">
        <v>3</v>
      </c>
      <c r="C17" s="27">
        <v>2</v>
      </c>
      <c r="D17" s="27">
        <v>5</v>
      </c>
      <c r="E17" s="32">
        <v>3</v>
      </c>
      <c r="F17" s="71">
        <f>'Лабораторная работа 2'!P35+'Лабораторная работа 2'!$F$21</f>
        <v>90.740000000000009</v>
      </c>
      <c r="G17" s="22"/>
      <c r="H17" s="22"/>
      <c r="I17" s="22"/>
      <c r="J17" s="22"/>
      <c r="K17" s="22"/>
      <c r="L17" s="148"/>
      <c r="M17" s="70">
        <f>IF($Q10=MIN($Q8:$Q12),M14,M10)</f>
        <v>3</v>
      </c>
      <c r="N17" s="70">
        <f t="shared" ref="N17:P17" si="11">IF($Q10=MIN($Q8:$Q12),N14,N10)</f>
        <v>3.57735</v>
      </c>
      <c r="O17" s="70">
        <f t="shared" si="11"/>
        <v>2.7958758499999998</v>
      </c>
      <c r="P17" s="70">
        <f t="shared" si="11"/>
        <v>2.8418861199999998</v>
      </c>
      <c r="Q17" s="72">
        <f t="shared" si="10"/>
        <v>82.283677944399997</v>
      </c>
      <c r="R17" s="183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9.899999999999999" customHeight="1" x14ac:dyDescent="0.3">
      <c r="A18" s="22"/>
      <c r="B18" s="31">
        <v>4</v>
      </c>
      <c r="C18" s="27">
        <v>1</v>
      </c>
      <c r="D18" s="27">
        <v>1</v>
      </c>
      <c r="E18" s="32">
        <v>3</v>
      </c>
      <c r="F18" s="71">
        <f>'Лабораторная работа 2'!P36+'Лабораторная работа 2'!$F$21</f>
        <v>70.66</v>
      </c>
      <c r="G18" s="22"/>
      <c r="H18" s="22"/>
      <c r="I18" s="22"/>
      <c r="J18" s="22"/>
      <c r="K18" s="22"/>
      <c r="L18" s="148"/>
      <c r="M18" s="70">
        <f>IF($Q11=MIN($Q8:$Q12),M14,M11)</f>
        <v>3</v>
      </c>
      <c r="N18" s="70">
        <f t="shared" ref="N18:P18" si="12">IF($Q11=MIN($Q8:$Q12),N14,N11)</f>
        <v>3</v>
      </c>
      <c r="O18" s="70">
        <f t="shared" si="12"/>
        <v>3.6123699999999999</v>
      </c>
      <c r="P18" s="70">
        <f t="shared" si="12"/>
        <v>2.8418861199999998</v>
      </c>
      <c r="Q18" s="72">
        <f t="shared" si="10"/>
        <v>84.441762162399996</v>
      </c>
      <c r="R18" s="183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9.899999999999999" customHeight="1" thickBot="1" x14ac:dyDescent="0.35">
      <c r="A19" s="22"/>
      <c r="B19" s="31">
        <v>4</v>
      </c>
      <c r="C19" s="27">
        <v>2</v>
      </c>
      <c r="D19" s="27">
        <v>2</v>
      </c>
      <c r="E19" s="32">
        <v>4</v>
      </c>
      <c r="F19" s="71">
        <f>'Лабораторная работа 2'!P37+'Лабораторная работа 2'!$F$21</f>
        <v>95.820000000000022</v>
      </c>
      <c r="G19" s="22"/>
      <c r="H19" s="22"/>
      <c r="I19" s="22"/>
      <c r="J19" s="22"/>
      <c r="K19" s="22"/>
      <c r="L19" s="148"/>
      <c r="M19" s="75">
        <f>IF($Q12=MIN($Q8:$Q12),M14,M12)</f>
        <v>3</v>
      </c>
      <c r="N19" s="75">
        <f t="shared" ref="N19:P19" si="13">IF($Q12=MIN($Q8:$Q12),N14,N12)</f>
        <v>3</v>
      </c>
      <c r="O19" s="75">
        <f t="shared" si="13"/>
        <v>3</v>
      </c>
      <c r="P19" s="75">
        <f t="shared" si="13"/>
        <v>3.63246</v>
      </c>
      <c r="Q19" s="73">
        <f t="shared" si="10"/>
        <v>94.884469200000012</v>
      </c>
      <c r="R19" s="183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9.899999999999999" customHeight="1" x14ac:dyDescent="0.3">
      <c r="A20" s="22"/>
      <c r="B20" s="31">
        <v>4</v>
      </c>
      <c r="C20" s="27">
        <v>3</v>
      </c>
      <c r="D20" s="27">
        <v>3</v>
      </c>
      <c r="E20" s="32">
        <v>5</v>
      </c>
      <c r="F20" s="71">
        <f>'Лабораторная работа 2'!P38+'Лабораторная работа 2'!$F$21</f>
        <v>120.98000000000002</v>
      </c>
      <c r="G20" s="22"/>
      <c r="H20" s="22"/>
      <c r="I20" s="22"/>
      <c r="J20" s="22"/>
      <c r="K20" s="22"/>
      <c r="L20" s="121" t="s">
        <v>60</v>
      </c>
      <c r="M20" s="122">
        <f>IF($Q15=MIN($Q15:$Q19),-M15,M15)+IF($Q16=MIN($Q15:$Q19),-M16,M16)+IF($Q17=MIN($Q15:$Q19),-M17,M17)+IF($Q18=MIN($Q15:$Q19), -M18,M18)+IF($Q19=MIN($Q15:$Q19),-M19,M19)</f>
        <v>10.5</v>
      </c>
      <c r="N20" s="123">
        <f>IF($Q15=MIN($Q15:$Q19),-N15,N15)+IF($Q16=MIN($Q15:$Q19),-N16,N16)+IF($Q17=MIN($Q15:$Q19),-N17,N17)+IF($Q18=MIN($Q15:$Q19), -N18,N18)+IF($Q19=MIN($Q15:$Q19),-N19,N19)</f>
        <v>11.65470013</v>
      </c>
      <c r="O20" s="123">
        <f>IF($Q15=MIN($Q15:$Q19),-O15,O15)+IF($Q16=MIN($Q15:$Q19),-O16,O16)+IF($Q17=MIN($Q15:$Q19),-O17,O17)+IF($Q18=MIN($Q15:$Q19), -O18,O18)+IF($Q19=MIN($Q15:$Q19),-O19,O19)</f>
        <v>11.316492925</v>
      </c>
      <c r="P20" s="124">
        <f>IF($Q15=MIN($Q15:$Q19),-P15,P15)+IF($Q16=MIN($Q15:$Q19),-P16,P16)+IF($Q17=MIN($Q15:$Q19),-P17,P17)+IF($Q18=MIN($Q15:$Q19), -P18,P18)+IF($Q19=MIN($Q15:$Q19),-P19,P19)</f>
        <v>11.132462239999999</v>
      </c>
      <c r="Q20" s="178">
        <f>MAX(M20:P20)</f>
        <v>11.65470013</v>
      </c>
      <c r="R20" s="180">
        <f>Q20/5</f>
        <v>2.3309400259999999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9.899999999999999" customHeight="1" thickBot="1" x14ac:dyDescent="0.35">
      <c r="A21" s="22"/>
      <c r="B21" s="31">
        <v>4</v>
      </c>
      <c r="C21" s="27">
        <v>5</v>
      </c>
      <c r="D21" s="27">
        <v>4</v>
      </c>
      <c r="E21" s="32">
        <v>2</v>
      </c>
      <c r="F21" s="71">
        <f>'Лабораторная работа 2'!P39+'Лабораторная работа 2'!$F$21</f>
        <v>81.279999999999987</v>
      </c>
      <c r="G21" s="22"/>
      <c r="H21" s="22"/>
      <c r="I21" s="22"/>
      <c r="J21" s="22"/>
      <c r="K21" s="22"/>
      <c r="L21" s="125" t="s">
        <v>61</v>
      </c>
      <c r="M21" s="126">
        <f>M20/$R20</f>
        <v>4.5046204033050481</v>
      </c>
      <c r="N21" s="127">
        <f t="shared" ref="N21" si="14">N20/$R20</f>
        <v>5</v>
      </c>
      <c r="O21" s="127">
        <f t="shared" ref="O21" si="15">O20/$R20</f>
        <v>4.8549052308392602</v>
      </c>
      <c r="P21" s="128">
        <f t="shared" ref="P21" si="16">P20/$R20</f>
        <v>4.7759539566978111</v>
      </c>
      <c r="Q21" s="179"/>
      <c r="R21" s="181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9.899999999999999" customHeight="1" x14ac:dyDescent="0.3">
      <c r="A22" s="22"/>
      <c r="B22" s="31">
        <v>4</v>
      </c>
      <c r="C22" s="27">
        <v>4</v>
      </c>
      <c r="D22" s="27">
        <v>5</v>
      </c>
      <c r="E22" s="32">
        <v>1</v>
      </c>
      <c r="F22" s="71">
        <f>'Лабораторная работа 2'!P40+'Лабораторная работа 2'!$F$21</f>
        <v>65.95999999999998</v>
      </c>
      <c r="G22" s="22"/>
      <c r="H22" s="22"/>
      <c r="I22" s="22"/>
      <c r="J22" s="22"/>
      <c r="K22" s="192"/>
      <c r="L22" s="147">
        <v>3</v>
      </c>
      <c r="M22" s="116">
        <f>IF($Q15=MIN($Q15:$Q19),M21,M15)</f>
        <v>5</v>
      </c>
      <c r="N22" s="116">
        <f t="shared" ref="N22:P22" si="17">IF($Q15=MIN($Q15:$Q19),N21,N15)</f>
        <v>4.7886749999999996</v>
      </c>
      <c r="O22" s="116">
        <f t="shared" si="17"/>
        <v>4.7041229250000001</v>
      </c>
      <c r="P22" s="116">
        <f t="shared" si="17"/>
        <v>4.6581161199999999</v>
      </c>
      <c r="Q22" s="129">
        <f>SUMPRODUCT($B$30:$E$30,M22:P22)+$F$30</f>
        <v>132.12495465340004</v>
      </c>
      <c r="R22" s="182">
        <f>MAX(Q22:Q26)-MIN(Q22:Q26)</f>
        <v>51.872221671646187</v>
      </c>
      <c r="S22" s="19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9.899999999999999" customHeight="1" x14ac:dyDescent="0.3">
      <c r="A23" s="22"/>
      <c r="B23" s="31">
        <v>5</v>
      </c>
      <c r="C23" s="27">
        <v>2</v>
      </c>
      <c r="D23" s="27">
        <v>1</v>
      </c>
      <c r="E23" s="32">
        <v>2</v>
      </c>
      <c r="F23" s="71">
        <f>'Лабораторная работа 2'!P41+'Лабораторная работа 2'!$F$21</f>
        <v>59.679999999999986</v>
      </c>
      <c r="G23" s="22"/>
      <c r="H23" s="22"/>
      <c r="I23" s="22"/>
      <c r="J23" s="22"/>
      <c r="K23" s="192"/>
      <c r="L23" s="148"/>
      <c r="M23" s="70">
        <f>IF($Q16=MIN($Q15:$Q19),M21,M16)</f>
        <v>4.5046204033050481</v>
      </c>
      <c r="N23" s="70">
        <f t="shared" ref="N23:P23" si="18">IF($Q16=MIN($Q15:$Q19),N21,N16)</f>
        <v>5</v>
      </c>
      <c r="O23" s="70">
        <f t="shared" si="18"/>
        <v>4.8549052308392602</v>
      </c>
      <c r="P23" s="70">
        <f t="shared" si="18"/>
        <v>4.7759539566978111</v>
      </c>
      <c r="Q23" s="72">
        <f t="shared" ref="Q23:Q26" si="19">SUMPRODUCT($B$30:$E$30,M23:P23)+$F$30</f>
        <v>134.15589961604618</v>
      </c>
      <c r="R23" s="183"/>
      <c r="S23" s="19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9.899999999999999" customHeight="1" x14ac:dyDescent="0.3">
      <c r="A24" s="22"/>
      <c r="B24" s="31">
        <v>5</v>
      </c>
      <c r="C24" s="27">
        <v>3</v>
      </c>
      <c r="D24" s="27">
        <v>2</v>
      </c>
      <c r="E24" s="32">
        <v>3</v>
      </c>
      <c r="F24" s="71">
        <f>'Лабораторная работа 2'!P42+'Лабораторная работа 2'!$F$21</f>
        <v>84.84</v>
      </c>
      <c r="G24" s="22"/>
      <c r="H24" s="22"/>
      <c r="I24" s="22"/>
      <c r="J24" s="22"/>
      <c r="K24" s="192"/>
      <c r="L24" s="148"/>
      <c r="M24" s="70">
        <f>IF($Q17=MIN($Q15:$Q19),M21,M17)</f>
        <v>3</v>
      </c>
      <c r="N24" s="70">
        <f t="shared" ref="N24:P24" si="20">IF($Q17=MIN($Q15:$Q19),N21,N17)</f>
        <v>3.57735</v>
      </c>
      <c r="O24" s="70">
        <f t="shared" si="20"/>
        <v>2.7958758499999998</v>
      </c>
      <c r="P24" s="70">
        <f t="shared" si="20"/>
        <v>2.8418861199999998</v>
      </c>
      <c r="Q24" s="72">
        <f t="shared" si="19"/>
        <v>82.283677944399997</v>
      </c>
      <c r="R24" s="183"/>
      <c r="S24" s="19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9.899999999999999" customHeight="1" x14ac:dyDescent="0.3">
      <c r="A25" s="22"/>
      <c r="B25" s="31">
        <v>5</v>
      </c>
      <c r="C25" s="27">
        <v>4</v>
      </c>
      <c r="D25" s="27">
        <v>3</v>
      </c>
      <c r="E25" s="32">
        <v>4</v>
      </c>
      <c r="F25" s="71">
        <f>'Лабораторная работа 2'!P43+'Лабораторная работа 2'!$F$21</f>
        <v>110.00000000000003</v>
      </c>
      <c r="G25" s="22"/>
      <c r="H25" s="22"/>
      <c r="I25" s="22"/>
      <c r="J25" s="22"/>
      <c r="K25" s="192"/>
      <c r="L25" s="148"/>
      <c r="M25" s="70">
        <f>IF($Q18=MIN($Q15:$Q19),M21,M18)</f>
        <v>3</v>
      </c>
      <c r="N25" s="70">
        <f t="shared" ref="N25:P25" si="21">IF($Q18=MIN($Q15:$Q19),N21,N18)</f>
        <v>3</v>
      </c>
      <c r="O25" s="70">
        <f t="shared" si="21"/>
        <v>3.6123699999999999</v>
      </c>
      <c r="P25" s="70">
        <f t="shared" si="21"/>
        <v>2.8418861199999998</v>
      </c>
      <c r="Q25" s="72">
        <f t="shared" si="19"/>
        <v>84.441762162399996</v>
      </c>
      <c r="R25" s="183"/>
      <c r="S25" s="19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9.899999999999999" customHeight="1" thickBot="1" x14ac:dyDescent="0.35">
      <c r="A26" s="22"/>
      <c r="B26" s="31">
        <v>5</v>
      </c>
      <c r="C26" s="27">
        <v>1</v>
      </c>
      <c r="D26" s="27">
        <v>4</v>
      </c>
      <c r="E26" s="32">
        <v>1</v>
      </c>
      <c r="F26" s="71">
        <f>'Лабораторная работа 2'!P44+'Лабораторная работа 2'!$F$21</f>
        <v>54.199999999999967</v>
      </c>
      <c r="G26" s="22"/>
      <c r="H26" s="22"/>
      <c r="I26" s="22"/>
      <c r="J26" s="22"/>
      <c r="K26" s="192"/>
      <c r="L26" s="148"/>
      <c r="M26" s="75">
        <f>IF($Q19=MIN($Q15:$Q19),M21,M19)</f>
        <v>3</v>
      </c>
      <c r="N26" s="75">
        <f t="shared" ref="N26:P26" si="22">IF($Q19=MIN($Q15:$Q19),N21,N19)</f>
        <v>3</v>
      </c>
      <c r="O26" s="75">
        <f t="shared" si="22"/>
        <v>3</v>
      </c>
      <c r="P26" s="75">
        <f t="shared" si="22"/>
        <v>3.63246</v>
      </c>
      <c r="Q26" s="73">
        <f t="shared" si="19"/>
        <v>94.884469200000012</v>
      </c>
      <c r="R26" s="183"/>
      <c r="S26" s="19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9.899999999999999" customHeight="1" thickBot="1" x14ac:dyDescent="0.35">
      <c r="A27" s="22"/>
      <c r="B27" s="33">
        <v>5</v>
      </c>
      <c r="C27" s="34">
        <v>5</v>
      </c>
      <c r="D27" s="34">
        <v>5</v>
      </c>
      <c r="E27" s="35">
        <v>5</v>
      </c>
      <c r="F27" s="87">
        <f>'Лабораторная работа 2'!P45+'Лабораторная работа 2'!$F$21</f>
        <v>140.08000000000004</v>
      </c>
      <c r="G27" s="22"/>
      <c r="H27" s="22"/>
      <c r="I27" s="22"/>
      <c r="J27" s="22"/>
      <c r="K27" s="192"/>
      <c r="L27" s="121" t="s">
        <v>60</v>
      </c>
      <c r="M27" s="122">
        <f>IF($Q22=MIN($Q22:$Q26),-M22,M22)+IF($Q23=MIN($Q22:$Q26),-M23,M23)+IF($Q24=MIN($Q22:$Q26),-M24,M24)+IF($Q25=MIN($Q22:$Q26), -M25,M25)+IF($Q26=MIN($Q22:$Q26),-M26,M26)</f>
        <v>12.504620403305047</v>
      </c>
      <c r="N27" s="123">
        <f>IF($Q22=MIN($Q22:$Q26),-N22,N22)+IF($Q23=MIN($Q22:$Q26),-N23,N23)+IF($Q24=MIN($Q22:$Q26),-N24,N24)+IF($Q25=MIN($Q22:$Q26), -N25,N25)+IF($Q26=MIN($Q22:$Q26),-N26,N26)</f>
        <v>12.211324999999999</v>
      </c>
      <c r="O27" s="123">
        <f>IF($Q22=MIN($Q22:$Q26),-O22,O22)+IF($Q23=MIN($Q22:$Q26),-O23,O23)+IF($Q24=MIN($Q22:$Q26),-O24,O24)+IF($Q25=MIN($Q22:$Q26), -O25,O25)+IF($Q26=MIN($Q22:$Q26),-O26,O26)</f>
        <v>13.375522305839262</v>
      </c>
      <c r="P27" s="124">
        <f>IF($Q22=MIN($Q22:$Q26),-P22,P22)+IF($Q23=MIN($Q22:$Q26),-P23,P23)+IF($Q24=MIN($Q22:$Q26),-P24,P24)+IF($Q25=MIN($Q22:$Q26), -P25,P25)+IF($Q26=MIN($Q22:$Q26),-P26,P26)</f>
        <v>13.066530076697811</v>
      </c>
      <c r="Q27" s="178">
        <f>MAX(M27:P27)</f>
        <v>13.375522305839262</v>
      </c>
      <c r="R27" s="180">
        <f>Q27/5</f>
        <v>2.6751044611678525</v>
      </c>
      <c r="S27" s="19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9.899999999999999" customHeight="1" thickBot="1" x14ac:dyDescent="0.3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192"/>
      <c r="L28" s="125" t="s">
        <v>61</v>
      </c>
      <c r="M28" s="126">
        <f>M27/$R27</f>
        <v>4.6744419086520415</v>
      </c>
      <c r="N28" s="127">
        <f t="shared" ref="N28:P28" si="23">N27/$R27</f>
        <v>4.5648030487261728</v>
      </c>
      <c r="O28" s="127">
        <f t="shared" si="23"/>
        <v>5</v>
      </c>
      <c r="P28" s="128">
        <f t="shared" si="23"/>
        <v>4.8844933969395132</v>
      </c>
      <c r="Q28" s="179"/>
      <c r="R28" s="181"/>
      <c r="S28" s="19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9.899999999999999" customHeight="1" thickBot="1" x14ac:dyDescent="0.35">
      <c r="A29" s="22"/>
      <c r="B29" s="5" t="s">
        <v>38</v>
      </c>
      <c r="C29" s="6" t="s">
        <v>37</v>
      </c>
      <c r="D29" s="6" t="s">
        <v>39</v>
      </c>
      <c r="E29" s="99" t="s">
        <v>40</v>
      </c>
      <c r="F29" s="86" t="s">
        <v>41</v>
      </c>
      <c r="G29" s="22"/>
      <c r="H29" s="22"/>
      <c r="I29" s="22"/>
      <c r="J29" s="22"/>
      <c r="K29" s="192"/>
      <c r="L29" s="147">
        <v>4</v>
      </c>
      <c r="M29" s="116">
        <f t="shared" ref="M29:P29" si="24">IF($Q22=MIN($Q22:$Q26),M28,M22)</f>
        <v>5</v>
      </c>
      <c r="N29" s="116">
        <f t="shared" si="24"/>
        <v>4.7886749999999996</v>
      </c>
      <c r="O29" s="116">
        <f t="shared" si="24"/>
        <v>4.7041229250000001</v>
      </c>
      <c r="P29" s="116">
        <f t="shared" si="24"/>
        <v>4.6581161199999999</v>
      </c>
      <c r="Q29" s="129">
        <f t="shared" ref="Q29:Q33" si="25">SUMPRODUCT($B$30:$E$30,M29:P29)+$F$30</f>
        <v>132.12495465340004</v>
      </c>
      <c r="R29" s="182">
        <f t="shared" ref="R29" si="26">MAX(Q29:Q33)-MIN(Q29:Q33)</f>
        <v>51.352907452807571</v>
      </c>
      <c r="S29" s="19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9.899999999999999" customHeight="1" thickBot="1" x14ac:dyDescent="0.35">
      <c r="A30" s="22"/>
      <c r="B30" s="36">
        <f>'Лабораторная работа 2'!B21</f>
        <v>2.82</v>
      </c>
      <c r="C30" s="37">
        <f>'Лабораторная работа 2'!C21</f>
        <v>3.22</v>
      </c>
      <c r="D30" s="37">
        <f>'Лабораторная работа 2'!D21</f>
        <v>4.92</v>
      </c>
      <c r="E30" s="94">
        <f>'Лабораторная работа 2'!E21</f>
        <v>17.020000000000017</v>
      </c>
      <c r="F30" s="87">
        <f>'Лабораторная работа 2'!F21</f>
        <v>0.17999999999994884</v>
      </c>
      <c r="G30" s="22"/>
      <c r="H30" s="22"/>
      <c r="I30" s="22"/>
      <c r="J30" s="22"/>
      <c r="K30" s="192"/>
      <c r="L30" s="148"/>
      <c r="M30" s="70">
        <f t="shared" ref="M30:P30" si="27">IF($Q23=MIN($Q22:$Q26),M28,M23)</f>
        <v>4.5046204033050481</v>
      </c>
      <c r="N30" s="70">
        <f t="shared" si="27"/>
        <v>5</v>
      </c>
      <c r="O30" s="70">
        <f t="shared" si="27"/>
        <v>4.8549052308392602</v>
      </c>
      <c r="P30" s="70">
        <f t="shared" si="27"/>
        <v>4.7759539566978111</v>
      </c>
      <c r="Q30" s="72">
        <f t="shared" si="25"/>
        <v>134.15589961604618</v>
      </c>
      <c r="R30" s="183"/>
      <c r="S30" s="19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9.899999999999999" customHeight="1" thickBot="1" x14ac:dyDescent="0.35">
      <c r="A31" s="22"/>
      <c r="B31" s="172" t="s">
        <v>48</v>
      </c>
      <c r="C31" s="173"/>
      <c r="D31" s="173"/>
      <c r="E31" s="173"/>
      <c r="F31" s="174"/>
      <c r="G31" s="22"/>
      <c r="H31" s="22"/>
      <c r="I31" s="22"/>
      <c r="J31" s="22"/>
      <c r="K31" s="192"/>
      <c r="L31" s="148"/>
      <c r="M31" s="70">
        <f t="shared" ref="M31:P31" si="28">IF($Q24=MIN($Q22:$Q26),M28,M24)</f>
        <v>4.6744419086520415</v>
      </c>
      <c r="N31" s="70">
        <f t="shared" si="28"/>
        <v>4.5648030487261728</v>
      </c>
      <c r="O31" s="70">
        <f t="shared" si="28"/>
        <v>5</v>
      </c>
      <c r="P31" s="70">
        <f t="shared" si="28"/>
        <v>4.8844933969395132</v>
      </c>
      <c r="Q31" s="72">
        <f t="shared" si="25"/>
        <v>135.79466961520757</v>
      </c>
      <c r="R31" s="183"/>
      <c r="S31" s="19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9.899999999999999" customHeight="1" thickBot="1" x14ac:dyDescent="0.35">
      <c r="A32" s="22"/>
      <c r="B32" s="169" t="s">
        <v>49</v>
      </c>
      <c r="C32" s="170"/>
      <c r="D32" s="170"/>
      <c r="E32" s="170"/>
      <c r="F32" s="171"/>
      <c r="G32" s="22"/>
      <c r="H32" s="22"/>
      <c r="I32" s="22"/>
      <c r="J32" s="22"/>
      <c r="K32" s="192"/>
      <c r="L32" s="148"/>
      <c r="M32" s="70">
        <f t="shared" ref="M32:P32" si="29">IF($Q25=MIN($Q22:$Q26),M28,M25)</f>
        <v>3</v>
      </c>
      <c r="N32" s="70">
        <f t="shared" si="29"/>
        <v>3</v>
      </c>
      <c r="O32" s="70">
        <f t="shared" si="29"/>
        <v>3.6123699999999999</v>
      </c>
      <c r="P32" s="70">
        <f t="shared" si="29"/>
        <v>2.8418861199999998</v>
      </c>
      <c r="Q32" s="72">
        <f t="shared" si="25"/>
        <v>84.441762162399996</v>
      </c>
      <c r="R32" s="183"/>
      <c r="S32" s="19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9.899999999999999" customHeight="1" thickBot="1" x14ac:dyDescent="0.3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192"/>
      <c r="L33" s="148"/>
      <c r="M33" s="75">
        <f t="shared" ref="M33:P33" si="30">IF($Q26=MIN($Q22:$Q26),M28,M26)</f>
        <v>3</v>
      </c>
      <c r="N33" s="75">
        <f t="shared" si="30"/>
        <v>3</v>
      </c>
      <c r="O33" s="75">
        <f t="shared" si="30"/>
        <v>3</v>
      </c>
      <c r="P33" s="75">
        <f t="shared" si="30"/>
        <v>3.63246</v>
      </c>
      <c r="Q33" s="73">
        <f t="shared" si="25"/>
        <v>94.884469200000012</v>
      </c>
      <c r="R33" s="183"/>
      <c r="S33" s="19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9.899999999999999" customHeight="1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192"/>
      <c r="L34" s="121" t="s">
        <v>60</v>
      </c>
      <c r="M34" s="122">
        <f t="shared" ref="M34:P34" si="31">IF($Q29=MIN($Q29:$Q33),-M29,M29)+IF($Q30=MIN($Q29:$Q33),-M30,M30)+IF($Q31=MIN($Q29:$Q33),-M31,M31)+IF($Q32=MIN($Q29:$Q33), -M32,M32)+IF($Q33=MIN($Q29:$Q33),-M33,M33)</f>
        <v>14.17906231195709</v>
      </c>
      <c r="N34" s="123">
        <f t="shared" si="31"/>
        <v>14.353478048726172</v>
      </c>
      <c r="O34" s="123">
        <f t="shared" si="31"/>
        <v>13.946658155839261</v>
      </c>
      <c r="P34" s="124">
        <f t="shared" si="31"/>
        <v>15.109137353637324</v>
      </c>
      <c r="Q34" s="178">
        <f t="shared" ref="Q34" si="32">MAX(M34:P34)</f>
        <v>15.109137353637324</v>
      </c>
      <c r="R34" s="180">
        <f t="shared" ref="R34" si="33">Q34/5</f>
        <v>3.021827470727465</v>
      </c>
      <c r="S34" s="19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9.899999999999999" customHeight="1" thickBot="1" x14ac:dyDescent="0.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192"/>
      <c r="L35" s="125" t="s">
        <v>61</v>
      </c>
      <c r="M35" s="126">
        <f t="shared" ref="M35:P49" si="34">M34/$R34</f>
        <v>4.6922143799770497</v>
      </c>
      <c r="N35" s="127">
        <f t="shared" si="34"/>
        <v>4.7499330083430484</v>
      </c>
      <c r="O35" s="127">
        <f t="shared" si="34"/>
        <v>4.6153059004661792</v>
      </c>
      <c r="P35" s="128">
        <f t="shared" si="34"/>
        <v>5</v>
      </c>
      <c r="Q35" s="179"/>
      <c r="R35" s="181"/>
      <c r="S35" s="19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9.899999999999999" customHeight="1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192"/>
      <c r="L36" s="147">
        <v>5</v>
      </c>
      <c r="M36" s="116">
        <f t="shared" ref="M36:P36" si="35">IF($Q29=MIN($Q29:$Q33),M35,M29)</f>
        <v>5</v>
      </c>
      <c r="N36" s="116">
        <f t="shared" si="35"/>
        <v>4.7886749999999996</v>
      </c>
      <c r="O36" s="116">
        <f t="shared" si="35"/>
        <v>4.7041229250000001</v>
      </c>
      <c r="P36" s="116">
        <f t="shared" si="35"/>
        <v>4.6581161199999999</v>
      </c>
      <c r="Q36" s="129">
        <f t="shared" ref="Q36:Q40" si="36">SUMPRODUCT($B$30:$E$30,M36:P36)+$F$30</f>
        <v>132.12495465340004</v>
      </c>
      <c r="R36" s="182">
        <f t="shared" ref="R36" si="37">MAX(Q36:Q40)-MIN(Q36:Q40)</f>
        <v>41.629664668693522</v>
      </c>
      <c r="S36" s="19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9.899999999999999" customHeight="1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192"/>
      <c r="L37" s="148"/>
      <c r="M37" s="70">
        <f t="shared" ref="M37:P37" si="38">IF($Q30=MIN($Q29:$Q33),M35,M30)</f>
        <v>4.5046204033050481</v>
      </c>
      <c r="N37" s="70">
        <f t="shared" si="38"/>
        <v>5</v>
      </c>
      <c r="O37" s="70">
        <f t="shared" si="38"/>
        <v>4.8549052308392602</v>
      </c>
      <c r="P37" s="70">
        <f t="shared" si="38"/>
        <v>4.7759539566978111</v>
      </c>
      <c r="Q37" s="72">
        <f t="shared" si="36"/>
        <v>134.15589961604618</v>
      </c>
      <c r="R37" s="183"/>
      <c r="S37" s="19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9.899999999999999" customHeight="1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192"/>
      <c r="L38" s="148"/>
      <c r="M38" s="70">
        <f t="shared" ref="M38:P38" si="39">IF($Q31=MIN($Q29:$Q33),M35,M31)</f>
        <v>4.6744419086520415</v>
      </c>
      <c r="N38" s="70">
        <f t="shared" si="39"/>
        <v>4.5648030487261728</v>
      </c>
      <c r="O38" s="70">
        <f t="shared" si="39"/>
        <v>5</v>
      </c>
      <c r="P38" s="70">
        <f t="shared" si="39"/>
        <v>4.8844933969395132</v>
      </c>
      <c r="Q38" s="72">
        <f t="shared" si="36"/>
        <v>135.79466961520757</v>
      </c>
      <c r="R38" s="183"/>
      <c r="S38" s="19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9.899999999999999" customHeight="1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192"/>
      <c r="L39" s="148"/>
      <c r="M39" s="70">
        <f t="shared" ref="M39:P39" si="40">IF($Q32=MIN($Q29:$Q33),M35,M32)</f>
        <v>4.6922143799770497</v>
      </c>
      <c r="N39" s="70">
        <f t="shared" si="40"/>
        <v>4.7499330083430484</v>
      </c>
      <c r="O39" s="70">
        <f t="shared" si="40"/>
        <v>4.6153059004661792</v>
      </c>
      <c r="P39" s="70">
        <f t="shared" si="40"/>
        <v>5</v>
      </c>
      <c r="Q39" s="72">
        <f t="shared" si="36"/>
        <v>136.51413386869353</v>
      </c>
      <c r="R39" s="183"/>
      <c r="S39" s="19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9.899999999999999" customHeight="1" thickBot="1" x14ac:dyDescent="0.3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192"/>
      <c r="L40" s="148"/>
      <c r="M40" s="75">
        <f t="shared" ref="M40:P40" si="41">IF($Q33=MIN($Q29:$Q33),M35,M33)</f>
        <v>3</v>
      </c>
      <c r="N40" s="75">
        <f t="shared" si="41"/>
        <v>3</v>
      </c>
      <c r="O40" s="75">
        <f t="shared" si="41"/>
        <v>3</v>
      </c>
      <c r="P40" s="75">
        <f t="shared" si="41"/>
        <v>3.63246</v>
      </c>
      <c r="Q40" s="73">
        <f t="shared" si="36"/>
        <v>94.884469200000012</v>
      </c>
      <c r="R40" s="183"/>
      <c r="S40" s="19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9.899999999999999" customHeight="1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192"/>
      <c r="L41" s="121" t="s">
        <v>60</v>
      </c>
      <c r="M41" s="122">
        <f t="shared" ref="M41:P41" si="42">IF($Q36=MIN($Q36:$Q40),-M36,M36)+IF($Q37=MIN($Q36:$Q40),-M37,M37)+IF($Q38=MIN($Q36:$Q40),-M38,M38)+IF($Q39=MIN($Q36:$Q40), -M39,M39)+IF($Q40=MIN($Q36:$Q40),-M40,M40)</f>
        <v>15.871276691934138</v>
      </c>
      <c r="N41" s="123">
        <f t="shared" si="42"/>
        <v>16.10341105706922</v>
      </c>
      <c r="O41" s="123">
        <f t="shared" si="42"/>
        <v>16.17433405630544</v>
      </c>
      <c r="P41" s="124">
        <f t="shared" si="42"/>
        <v>15.686103473637326</v>
      </c>
      <c r="Q41" s="178">
        <f t="shared" ref="Q41" si="43">MAX(M41:P41)</f>
        <v>16.17433405630544</v>
      </c>
      <c r="R41" s="180">
        <f t="shared" ref="R41" si="44">Q41/5</f>
        <v>3.2348668112610879</v>
      </c>
      <c r="S41" s="19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9.899999999999999" customHeight="1" thickBot="1" x14ac:dyDescent="0.3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192"/>
      <c r="L42" s="125" t="s">
        <v>61</v>
      </c>
      <c r="M42" s="126">
        <f t="shared" ref="M42:P49" si="45">M41/$R41</f>
        <v>4.906315350197322</v>
      </c>
      <c r="N42" s="127">
        <f t="shared" si="45"/>
        <v>4.9780754499723683</v>
      </c>
      <c r="O42" s="127">
        <f t="shared" si="45"/>
        <v>5</v>
      </c>
      <c r="P42" s="128">
        <f t="shared" si="45"/>
        <v>4.8490724313691977</v>
      </c>
      <c r="Q42" s="179"/>
      <c r="R42" s="181"/>
      <c r="S42" s="19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9.899999999999999" customHeight="1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192"/>
      <c r="L43" s="147">
        <v>6</v>
      </c>
      <c r="M43" s="116">
        <f t="shared" ref="M43:P43" si="46">IF($Q36=MIN($Q36:$Q40),M42,M36)</f>
        <v>5</v>
      </c>
      <c r="N43" s="116">
        <f t="shared" si="46"/>
        <v>4.7886749999999996</v>
      </c>
      <c r="O43" s="116">
        <f t="shared" si="46"/>
        <v>4.7041229250000001</v>
      </c>
      <c r="P43" s="116">
        <f t="shared" si="46"/>
        <v>4.6581161199999999</v>
      </c>
      <c r="Q43" s="129">
        <f t="shared" ref="Q43:Q47" si="47">SUMPRODUCT($B$30:$E$30,M43:P43)+$F$30</f>
        <v>132.12495465340004</v>
      </c>
      <c r="R43" s="182">
        <f t="shared" ref="R43" si="48">MAX(Q43:Q47)-MIN(Q43:Q47)</f>
        <v>5.0514703649712374</v>
      </c>
      <c r="S43" s="19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9.899999999999999" customHeight="1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192"/>
      <c r="L44" s="148"/>
      <c r="M44" s="70">
        <f t="shared" ref="M44:P44" si="49">IF($Q37=MIN($Q36:$Q40),M42,M37)</f>
        <v>4.5046204033050481</v>
      </c>
      <c r="N44" s="70">
        <f t="shared" si="49"/>
        <v>5</v>
      </c>
      <c r="O44" s="70">
        <f t="shared" si="49"/>
        <v>4.8549052308392602</v>
      </c>
      <c r="P44" s="70">
        <f t="shared" si="49"/>
        <v>4.7759539566978111</v>
      </c>
      <c r="Q44" s="72">
        <f t="shared" si="47"/>
        <v>134.15589961604618</v>
      </c>
      <c r="R44" s="183"/>
      <c r="S44" s="19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9.899999999999999" customHeight="1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192"/>
      <c r="L45" s="148"/>
      <c r="M45" s="70">
        <f t="shared" ref="M45:P45" si="50">IF($Q38=MIN($Q36:$Q40),M42,M38)</f>
        <v>4.6744419086520415</v>
      </c>
      <c r="N45" s="70">
        <f t="shared" si="50"/>
        <v>4.5648030487261728</v>
      </c>
      <c r="O45" s="70">
        <f t="shared" si="50"/>
        <v>5</v>
      </c>
      <c r="P45" s="70">
        <f t="shared" si="50"/>
        <v>4.8844933969395132</v>
      </c>
      <c r="Q45" s="72">
        <f t="shared" si="47"/>
        <v>135.79466961520757</v>
      </c>
      <c r="R45" s="183"/>
      <c r="S45" s="19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9.899999999999999" customHeight="1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192"/>
      <c r="L46" s="148"/>
      <c r="M46" s="70">
        <f t="shared" ref="M46:P46" si="51">IF($Q39=MIN($Q36:$Q40),M42,M39)</f>
        <v>4.6922143799770497</v>
      </c>
      <c r="N46" s="70">
        <f t="shared" si="51"/>
        <v>4.7499330083430484</v>
      </c>
      <c r="O46" s="70">
        <f t="shared" si="51"/>
        <v>4.6153059004661792</v>
      </c>
      <c r="P46" s="70">
        <f t="shared" si="51"/>
        <v>5</v>
      </c>
      <c r="Q46" s="72">
        <f t="shared" si="47"/>
        <v>136.51413386869353</v>
      </c>
      <c r="R46" s="183"/>
      <c r="S46" s="19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9.899999999999999" customHeight="1" thickBot="1" x14ac:dyDescent="0.3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192"/>
      <c r="L47" s="148"/>
      <c r="M47" s="75">
        <f t="shared" ref="M47:P47" si="52">IF($Q40=MIN($Q36:$Q40),M42,M40)</f>
        <v>4.906315350197322</v>
      </c>
      <c r="N47" s="75">
        <f t="shared" si="52"/>
        <v>4.9780754499723683</v>
      </c>
      <c r="O47" s="75">
        <f t="shared" si="52"/>
        <v>5</v>
      </c>
      <c r="P47" s="75">
        <f t="shared" si="52"/>
        <v>4.8490724313691977</v>
      </c>
      <c r="Q47" s="73">
        <f t="shared" si="47"/>
        <v>137.17642501837128</v>
      </c>
      <c r="R47" s="183"/>
      <c r="S47" s="19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9.899999999999999" customHeight="1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192"/>
      <c r="L48" s="121" t="s">
        <v>60</v>
      </c>
      <c r="M48" s="122">
        <f t="shared" ref="M48:P48" si="53">IF($Q43=MIN($Q43:$Q47),-M43,M43)+IF($Q44=MIN($Q43:$Q47),-M44,M44)+IF($Q45=MIN($Q43:$Q47),-M45,M45)+IF($Q46=MIN($Q43:$Q47), -M46,M46)+IF($Q47=MIN($Q43:$Q47),-M47,M47)</f>
        <v>13.777592042131459</v>
      </c>
      <c r="N48" s="123">
        <f t="shared" si="53"/>
        <v>14.50413650704159</v>
      </c>
      <c r="O48" s="123">
        <f t="shared" si="53"/>
        <v>14.76608820630544</v>
      </c>
      <c r="P48" s="124">
        <f t="shared" si="53"/>
        <v>14.851403665006522</v>
      </c>
      <c r="Q48" s="178">
        <f t="shared" ref="Q48" si="54">MAX(M48:P48)</f>
        <v>14.851403665006522</v>
      </c>
      <c r="R48" s="180">
        <f t="shared" ref="R48" si="55">Q48/5</f>
        <v>2.9702807330013044</v>
      </c>
      <c r="S48" s="19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9.899999999999999" customHeight="1" thickBot="1" x14ac:dyDescent="0.3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192"/>
      <c r="L49" s="125" t="s">
        <v>61</v>
      </c>
      <c r="M49" s="126">
        <f t="shared" ref="M49:P49" si="56">M48/$R48</f>
        <v>4.6384814368068046</v>
      </c>
      <c r="N49" s="127">
        <f t="shared" si="56"/>
        <v>4.8830860820303545</v>
      </c>
      <c r="O49" s="127">
        <f t="shared" si="56"/>
        <v>4.9712769713134577</v>
      </c>
      <c r="P49" s="128">
        <f t="shared" si="56"/>
        <v>5</v>
      </c>
      <c r="Q49" s="179"/>
      <c r="R49" s="181"/>
      <c r="S49" s="19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9.899999999999999" customHeight="1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192"/>
      <c r="L50" s="147">
        <v>7</v>
      </c>
      <c r="M50" s="116">
        <f t="shared" ref="M50" si="57">IF($Q43=MIN($Q43:$Q47),M49,M43)</f>
        <v>4.6384814368068046</v>
      </c>
      <c r="N50" s="116">
        <f t="shared" ref="N50" si="58">IF($Q43=MIN($Q43:$Q47),N49,N43)</f>
        <v>4.8830860820303545</v>
      </c>
      <c r="O50" s="116">
        <f t="shared" ref="O50" si="59">IF($Q43=MIN($Q43:$Q47),O49,O43)</f>
        <v>4.9712769713134577</v>
      </c>
      <c r="P50" s="116">
        <f t="shared" ref="P50" si="60">IF($Q43=MIN($Q43:$Q47),P49,P43)</f>
        <v>5</v>
      </c>
      <c r="Q50" s="129">
        <f t="shared" ref="Q50:Q54" si="61">SUMPRODUCT($B$30:$E$30,M50:P50)+$F$30</f>
        <v>138.54273753479518</v>
      </c>
      <c r="R50" s="182">
        <f t="shared" ref="R50" si="62">MAX(Q50:Q54)-MIN(Q50:Q54)</f>
        <v>4.386837918748995</v>
      </c>
      <c r="S50" s="19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9.899999999999999" customHeight="1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192"/>
      <c r="L51" s="148"/>
      <c r="M51" s="70">
        <f t="shared" ref="M51:P51" si="63">IF($Q44=MIN($Q43:$Q47),M49,M44)</f>
        <v>4.5046204033050481</v>
      </c>
      <c r="N51" s="70">
        <f t="shared" si="63"/>
        <v>5</v>
      </c>
      <c r="O51" s="70">
        <f t="shared" si="63"/>
        <v>4.8549052308392602</v>
      </c>
      <c r="P51" s="70">
        <f t="shared" si="63"/>
        <v>4.7759539566978111</v>
      </c>
      <c r="Q51" s="72">
        <f t="shared" si="61"/>
        <v>134.15589961604618</v>
      </c>
      <c r="R51" s="183"/>
      <c r="S51" s="19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9.899999999999999" customHeight="1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192"/>
      <c r="L52" s="148"/>
      <c r="M52" s="70">
        <f t="shared" ref="M52:P52" si="64">IF($Q45=MIN($Q43:$Q47),M49,M45)</f>
        <v>4.6744419086520415</v>
      </c>
      <c r="N52" s="70">
        <f t="shared" si="64"/>
        <v>4.5648030487261728</v>
      </c>
      <c r="O52" s="70">
        <f t="shared" si="64"/>
        <v>5</v>
      </c>
      <c r="P52" s="70">
        <f t="shared" si="64"/>
        <v>4.8844933969395132</v>
      </c>
      <c r="Q52" s="72">
        <f t="shared" si="61"/>
        <v>135.79466961520757</v>
      </c>
      <c r="R52" s="183"/>
      <c r="S52" s="19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9.899999999999999" customHeigh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192"/>
      <c r="L53" s="148"/>
      <c r="M53" s="70">
        <f t="shared" ref="M53:P53" si="65">IF($Q46=MIN($Q43:$Q47),M49,M46)</f>
        <v>4.6922143799770497</v>
      </c>
      <c r="N53" s="70">
        <f t="shared" si="65"/>
        <v>4.7499330083430484</v>
      </c>
      <c r="O53" s="70">
        <f t="shared" si="65"/>
        <v>4.6153059004661792</v>
      </c>
      <c r="P53" s="70">
        <f t="shared" si="65"/>
        <v>5</v>
      </c>
      <c r="Q53" s="72">
        <f t="shared" si="61"/>
        <v>136.51413386869353</v>
      </c>
      <c r="R53" s="183"/>
      <c r="S53" s="19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9.899999999999999" customHeight="1" thickBot="1" x14ac:dyDescent="0.3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192"/>
      <c r="L54" s="148"/>
      <c r="M54" s="75">
        <f t="shared" ref="M54:P54" si="66">IF($Q47=MIN($Q43:$Q47),M49,M47)</f>
        <v>4.906315350197322</v>
      </c>
      <c r="N54" s="75">
        <f t="shared" si="66"/>
        <v>4.9780754499723683</v>
      </c>
      <c r="O54" s="75">
        <f t="shared" si="66"/>
        <v>5</v>
      </c>
      <c r="P54" s="75">
        <f t="shared" si="66"/>
        <v>4.8490724313691977</v>
      </c>
      <c r="Q54" s="73">
        <f t="shared" si="61"/>
        <v>137.17642501837128</v>
      </c>
      <c r="R54" s="183"/>
      <c r="S54" s="19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9.899999999999999" customHeigh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192"/>
      <c r="L55" s="121" t="s">
        <v>60</v>
      </c>
      <c r="M55" s="122">
        <f t="shared" ref="M55" si="67">IF($Q50=MIN($Q50:$Q54),-M50,M50)+IF($Q51=MIN($Q50:$Q54),-M51,M51)+IF($Q52=MIN($Q50:$Q54),-M52,M52)+IF($Q53=MIN($Q50:$Q54), -M53,M53)+IF($Q54=MIN($Q50:$Q54),-M54,M54)</f>
        <v>14.406832672328168</v>
      </c>
      <c r="N55" s="123">
        <f t="shared" ref="N55" si="68">IF($Q50=MIN($Q50:$Q54),-N50,N50)+IF($Q51=MIN($Q50:$Q54),-N51,N51)+IF($Q52=MIN($Q50:$Q54),-N52,N52)+IF($Q53=MIN($Q50:$Q54), -N53,N53)+IF($Q54=MIN($Q50:$Q54),-N54,N54)</f>
        <v>14.175897589071944</v>
      </c>
      <c r="O55" s="123">
        <f t="shared" ref="O55" si="69">IF($Q50=MIN($Q50:$Q54),-O50,O50)+IF($Q51=MIN($Q50:$Q54),-O51,O51)+IF($Q52=MIN($Q50:$Q54),-O52,O52)+IF($Q53=MIN($Q50:$Q54), -O53,O53)+IF($Q54=MIN($Q50:$Q54),-O54,O54)</f>
        <v>14.731677640940376</v>
      </c>
      <c r="P55" s="124">
        <f t="shared" ref="P55" si="70">IF($Q50=MIN($Q50:$Q54),-P50,P50)+IF($Q51=MIN($Q50:$Q54),-P51,P51)+IF($Q52=MIN($Q50:$Q54),-P52,P52)+IF($Q53=MIN($Q50:$Q54), -P53,P53)+IF($Q54=MIN($Q50:$Q54),-P54,P54)</f>
        <v>14.957611871610901</v>
      </c>
      <c r="Q55" s="178">
        <f t="shared" ref="Q55" si="71">MAX(M55:P55)</f>
        <v>14.957611871610901</v>
      </c>
      <c r="R55" s="180">
        <f t="shared" ref="R55" si="72">Q55/5</f>
        <v>2.9915223743221802</v>
      </c>
      <c r="S55" s="19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9.899999999999999" customHeight="1" thickBot="1" x14ac:dyDescent="0.3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92"/>
      <c r="L56" s="125" t="s">
        <v>61</v>
      </c>
      <c r="M56" s="126">
        <f t="shared" ref="M56" si="73">M55/$R55</f>
        <v>4.8158866522241777</v>
      </c>
      <c r="N56" s="127">
        <f t="shared" ref="N56" si="74">N55/$R55</f>
        <v>4.7386901434370596</v>
      </c>
      <c r="O56" s="127">
        <f t="shared" ref="O56" si="75">O55/$R55</f>
        <v>4.9244751660192021</v>
      </c>
      <c r="P56" s="128">
        <f t="shared" ref="P56" si="76">P55/$R55</f>
        <v>5</v>
      </c>
      <c r="Q56" s="179"/>
      <c r="R56" s="181"/>
      <c r="S56" s="19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9.899999999999999" customHeigh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92"/>
      <c r="L57" s="147">
        <v>8</v>
      </c>
      <c r="M57" s="116">
        <f t="shared" ref="M57" si="77">IF($Q50=MIN($Q50:$Q54),M56,M50)</f>
        <v>4.6384814368068046</v>
      </c>
      <c r="N57" s="116">
        <f t="shared" ref="N57" si="78">IF($Q50=MIN($Q50:$Q54),N56,N50)</f>
        <v>4.8830860820303545</v>
      </c>
      <c r="O57" s="116">
        <f t="shared" ref="O57" si="79">IF($Q50=MIN($Q50:$Q54),O56,O50)</f>
        <v>4.9712769713134577</v>
      </c>
      <c r="P57" s="116">
        <f t="shared" ref="P57" si="80">IF($Q50=MIN($Q50:$Q54),P56,P50)</f>
        <v>5</v>
      </c>
      <c r="Q57" s="129">
        <f t="shared" ref="Q57:Q61" si="81">SUMPRODUCT($B$30:$E$30,M57:P57)+$F$30</f>
        <v>138.54273753479518</v>
      </c>
      <c r="R57" s="182">
        <f t="shared" ref="R57" si="82">MAX(Q57:Q61)-MIN(Q57:Q61)</f>
        <v>2.7480679195876121</v>
      </c>
      <c r="S57" s="19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9.899999999999999" customHeigh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92"/>
      <c r="L58" s="148"/>
      <c r="M58" s="70">
        <f t="shared" ref="M58:P58" si="83">IF($Q51=MIN($Q50:$Q54),M56,M51)</f>
        <v>4.8158866522241777</v>
      </c>
      <c r="N58" s="70">
        <f t="shared" si="83"/>
        <v>4.7386901434370596</v>
      </c>
      <c r="O58" s="70">
        <f t="shared" si="83"/>
        <v>4.9244751660192021</v>
      </c>
      <c r="P58" s="70">
        <f t="shared" si="83"/>
        <v>5</v>
      </c>
      <c r="Q58" s="72">
        <f t="shared" si="81"/>
        <v>138.34780043795402</v>
      </c>
      <c r="R58" s="183"/>
      <c r="S58" s="19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9.899999999999999" customHeigh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92"/>
      <c r="L59" s="148"/>
      <c r="M59" s="70">
        <f t="shared" ref="M59:P59" si="84">IF($Q52=MIN($Q50:$Q54),M56,M52)</f>
        <v>4.6744419086520415</v>
      </c>
      <c r="N59" s="70">
        <f t="shared" si="84"/>
        <v>4.5648030487261728</v>
      </c>
      <c r="O59" s="70">
        <f t="shared" si="84"/>
        <v>5</v>
      </c>
      <c r="P59" s="70">
        <f t="shared" si="84"/>
        <v>4.8844933969395132</v>
      </c>
      <c r="Q59" s="72">
        <f t="shared" si="81"/>
        <v>135.79466961520757</v>
      </c>
      <c r="R59" s="183"/>
      <c r="S59" s="19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9.899999999999999" customHeigh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92"/>
      <c r="L60" s="148"/>
      <c r="M60" s="70">
        <f t="shared" ref="M60:P60" si="85">IF($Q53=MIN($Q50:$Q54),M56,M53)</f>
        <v>4.6922143799770497</v>
      </c>
      <c r="N60" s="70">
        <f t="shared" si="85"/>
        <v>4.7499330083430484</v>
      </c>
      <c r="O60" s="70">
        <f t="shared" si="85"/>
        <v>4.6153059004661792</v>
      </c>
      <c r="P60" s="70">
        <f t="shared" si="85"/>
        <v>5</v>
      </c>
      <c r="Q60" s="72">
        <f t="shared" si="81"/>
        <v>136.51413386869353</v>
      </c>
      <c r="R60" s="183"/>
      <c r="S60" s="19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9.899999999999999" customHeight="1" thickBot="1" x14ac:dyDescent="0.3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92"/>
      <c r="L61" s="148"/>
      <c r="M61" s="75">
        <f t="shared" ref="M61:P61" si="86">IF($Q54=MIN($Q50:$Q54),M56,M54)</f>
        <v>4.906315350197322</v>
      </c>
      <c r="N61" s="75">
        <f t="shared" si="86"/>
        <v>4.9780754499723683</v>
      </c>
      <c r="O61" s="75">
        <f t="shared" si="86"/>
        <v>5</v>
      </c>
      <c r="P61" s="75">
        <f t="shared" si="86"/>
        <v>4.8490724313691977</v>
      </c>
      <c r="Q61" s="73">
        <f t="shared" si="81"/>
        <v>137.17642501837128</v>
      </c>
      <c r="R61" s="183"/>
      <c r="S61" s="19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9.899999999999999" customHeigh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92"/>
      <c r="L62" s="121" t="s">
        <v>60</v>
      </c>
      <c r="M62" s="122">
        <f t="shared" ref="M62" si="87">IF($Q57=MIN($Q57:$Q61),-M57,M57)+IF($Q58=MIN($Q57:$Q61),-M58,M58)+IF($Q59=MIN($Q57:$Q61),-M59,M59)+IF($Q60=MIN($Q57:$Q61), -M60,M60)+IF($Q61=MIN($Q57:$Q61),-M61,M61)</f>
        <v>14.378455910553313</v>
      </c>
      <c r="N62" s="123">
        <f t="shared" ref="N62" si="88">IF($Q57=MIN($Q57:$Q61),-N57,N57)+IF($Q58=MIN($Q57:$Q61),-N58,N58)+IF($Q59=MIN($Q57:$Q61),-N59,N59)+IF($Q60=MIN($Q57:$Q61), -N60,N60)+IF($Q61=MIN($Q57:$Q61),-N61,N61)</f>
        <v>14.78498163505666</v>
      </c>
      <c r="O62" s="123">
        <f t="shared" ref="O62" si="89">IF($Q57=MIN($Q57:$Q61),-O57,O57)+IF($Q58=MIN($Q57:$Q61),-O58,O58)+IF($Q59=MIN($Q57:$Q61),-O59,O59)+IF($Q60=MIN($Q57:$Q61), -O60,O60)+IF($Q61=MIN($Q57:$Q61),-O61,O61)</f>
        <v>14.51105803779884</v>
      </c>
      <c r="P62" s="124">
        <f t="shared" ref="P62" si="90">IF($Q57=MIN($Q57:$Q61),-P57,P57)+IF($Q58=MIN($Q57:$Q61),-P58,P58)+IF($Q59=MIN($Q57:$Q61),-P59,P59)+IF($Q60=MIN($Q57:$Q61), -P60,P60)+IF($Q61=MIN($Q57:$Q61),-P61,P61)</f>
        <v>14.964579034429685</v>
      </c>
      <c r="Q62" s="178">
        <f t="shared" ref="Q62" si="91">MAX(M62:P62)</f>
        <v>14.964579034429685</v>
      </c>
      <c r="R62" s="180">
        <f t="shared" ref="R62" si="92">Q62/5</f>
        <v>2.9929158068859367</v>
      </c>
      <c r="S62" s="19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9.899999999999999" customHeight="1" thickBot="1" x14ac:dyDescent="0.3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92"/>
      <c r="L63" s="125" t="s">
        <v>61</v>
      </c>
      <c r="M63" s="126">
        <f t="shared" ref="M63" si="93">M62/$R62</f>
        <v>4.8041631767496265</v>
      </c>
      <c r="N63" s="127">
        <f t="shared" ref="N63" si="94">N62/$R62</f>
        <v>4.9399924986329999</v>
      </c>
      <c r="O63" s="127">
        <f t="shared" ref="O63" si="95">O62/$R62</f>
        <v>4.8484685083397911</v>
      </c>
      <c r="P63" s="128">
        <f t="shared" ref="P63" si="96">P62/$R62</f>
        <v>5</v>
      </c>
      <c r="Q63" s="179"/>
      <c r="R63" s="181"/>
      <c r="S63" s="19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9.899999999999999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92"/>
      <c r="L64" s="147">
        <v>9</v>
      </c>
      <c r="M64" s="116">
        <f t="shared" ref="M64" si="97">IF($Q57=MIN($Q57:$Q61),M63,M57)</f>
        <v>4.6384814368068046</v>
      </c>
      <c r="N64" s="116">
        <f t="shared" ref="N64" si="98">IF($Q57=MIN($Q57:$Q61),N63,N57)</f>
        <v>4.8830860820303545</v>
      </c>
      <c r="O64" s="116">
        <f t="shared" ref="O64" si="99">IF($Q57=MIN($Q57:$Q61),O63,O57)</f>
        <v>4.9712769713134577</v>
      </c>
      <c r="P64" s="116">
        <f t="shared" ref="P64" si="100">IF($Q57=MIN($Q57:$Q61),P63,P57)</f>
        <v>5</v>
      </c>
      <c r="Q64" s="129">
        <f t="shared" ref="Q64:Q68" si="101">SUMPRODUCT($B$30:$E$30,M64:P64)+$F$30</f>
        <v>138.54273753479518</v>
      </c>
      <c r="R64" s="182">
        <f t="shared" ref="R64:R71" si="102">MAX(Q64:Q68)-MIN(Q64:Q68)</f>
        <v>2.074847196370456</v>
      </c>
      <c r="S64" s="19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9.899999999999999" customHeigh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92"/>
      <c r="L65" s="148"/>
      <c r="M65" s="70">
        <f t="shared" ref="M65:P65" si="103">IF($Q58=MIN($Q57:$Q61),M63,M58)</f>
        <v>4.8158866522241777</v>
      </c>
      <c r="N65" s="70">
        <f t="shared" si="103"/>
        <v>4.7386901434370596</v>
      </c>
      <c r="O65" s="70">
        <f t="shared" si="103"/>
        <v>4.9244751660192021</v>
      </c>
      <c r="P65" s="70">
        <f t="shared" si="103"/>
        <v>5</v>
      </c>
      <c r="Q65" s="72">
        <f t="shared" si="101"/>
        <v>138.34780043795402</v>
      </c>
      <c r="R65" s="183"/>
      <c r="S65" s="19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9.899999999999999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92"/>
      <c r="L66" s="148"/>
      <c r="M66" s="70">
        <f t="shared" ref="M66:P66" si="104">IF($Q59=MIN($Q57:$Q61),M63,M59)</f>
        <v>4.8041631767496265</v>
      </c>
      <c r="N66" s="70">
        <f t="shared" si="104"/>
        <v>4.9399924986329999</v>
      </c>
      <c r="O66" s="70">
        <f t="shared" si="104"/>
        <v>4.8484685083397911</v>
      </c>
      <c r="P66" s="70">
        <f t="shared" si="104"/>
        <v>5</v>
      </c>
      <c r="Q66" s="72">
        <f t="shared" si="101"/>
        <v>138.58898106506399</v>
      </c>
      <c r="R66" s="183"/>
      <c r="S66" s="19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9.899999999999999" customHeigh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92"/>
      <c r="L67" s="148"/>
      <c r="M67" s="70">
        <f t="shared" ref="M67:P67" si="105">IF($Q60=MIN($Q57:$Q61),M63,M60)</f>
        <v>4.6922143799770497</v>
      </c>
      <c r="N67" s="70">
        <f t="shared" si="105"/>
        <v>4.7499330083430484</v>
      </c>
      <c r="O67" s="70">
        <f t="shared" si="105"/>
        <v>4.6153059004661792</v>
      </c>
      <c r="P67" s="70">
        <f t="shared" si="105"/>
        <v>5</v>
      </c>
      <c r="Q67" s="72">
        <f t="shared" si="101"/>
        <v>136.51413386869353</v>
      </c>
      <c r="R67" s="183"/>
      <c r="S67" s="19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9.899999999999999" customHeight="1" thickBot="1" x14ac:dyDescent="0.3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92"/>
      <c r="L68" s="148"/>
      <c r="M68" s="75">
        <f t="shared" ref="M68:P68" si="106">IF($Q61=MIN($Q57:$Q61),M63,M61)</f>
        <v>4.906315350197322</v>
      </c>
      <c r="N68" s="75">
        <f t="shared" si="106"/>
        <v>4.9780754499723683</v>
      </c>
      <c r="O68" s="75">
        <f t="shared" si="106"/>
        <v>5</v>
      </c>
      <c r="P68" s="75">
        <f t="shared" si="106"/>
        <v>4.8490724313691977</v>
      </c>
      <c r="Q68" s="73">
        <f t="shared" si="101"/>
        <v>137.17642501837128</v>
      </c>
      <c r="R68" s="183"/>
      <c r="S68" s="19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9.899999999999999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92"/>
      <c r="L69" s="121" t="s">
        <v>60</v>
      </c>
      <c r="M69" s="122">
        <f t="shared" ref="M69" si="107">IF($Q64=MIN($Q64:$Q68),-M64,M64)+IF($Q65=MIN($Q64:$Q68),-M65,M65)+IF($Q66=MIN($Q64:$Q68),-M66,M66)+IF($Q67=MIN($Q64:$Q68), -M67,M67)+IF($Q68=MIN($Q64:$Q68),-M68,M68)</f>
        <v>14.47263223600088</v>
      </c>
      <c r="N69" s="123">
        <f t="shared" ref="N69" si="108">IF($Q64=MIN($Q64:$Q68),-N64,N64)+IF($Q65=MIN($Q64:$Q68),-N65,N65)+IF($Q66=MIN($Q64:$Q68),-N66,N66)+IF($Q67=MIN($Q64:$Q68), -N67,N67)+IF($Q68=MIN($Q64:$Q68),-N68,N68)</f>
        <v>14.789911165729734</v>
      </c>
      <c r="O69" s="123">
        <f t="shared" ref="O69" si="109">IF($Q64=MIN($Q64:$Q68),-O64,O64)+IF($Q65=MIN($Q64:$Q68),-O65,O65)+IF($Q66=MIN($Q64:$Q68),-O66,O66)+IF($Q67=MIN($Q64:$Q68), -O67,O67)+IF($Q68=MIN($Q64:$Q68),-O68,O68)</f>
        <v>15.128914745206274</v>
      </c>
      <c r="P69" s="124">
        <f t="shared" ref="P69" si="110">IF($Q64=MIN($Q64:$Q68),-P64,P64)+IF($Q65=MIN($Q64:$Q68),-P65,P65)+IF($Q66=MIN($Q64:$Q68),-P66,P66)+IF($Q67=MIN($Q64:$Q68), -P67,P67)+IF($Q68=MIN($Q64:$Q68),-P68,P68)</f>
        <v>14.849072431369198</v>
      </c>
      <c r="Q69" s="178">
        <f t="shared" ref="Q69" si="111">MAX(M69:P69)</f>
        <v>15.128914745206274</v>
      </c>
      <c r="R69" s="180">
        <f t="shared" ref="R69:R76" si="112">Q69/5</f>
        <v>3.0257829490412549</v>
      </c>
      <c r="S69" s="19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9.899999999999999" customHeight="1" thickBot="1" x14ac:dyDescent="0.3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92"/>
      <c r="L70" s="125" t="s">
        <v>61</v>
      </c>
      <c r="M70" s="126">
        <f t="shared" ref="M70:M77" si="113">M69/$R69</f>
        <v>4.7831032429430067</v>
      </c>
      <c r="N70" s="127">
        <f t="shared" ref="N70:N77" si="114">N69/$R69</f>
        <v>4.8879616994391624</v>
      </c>
      <c r="O70" s="127">
        <f t="shared" ref="O70:O77" si="115">O69/$R69</f>
        <v>5</v>
      </c>
      <c r="P70" s="128">
        <f t="shared" ref="P70:P77" si="116">P69/$R69</f>
        <v>4.9075140819582757</v>
      </c>
      <c r="Q70" s="179"/>
      <c r="R70" s="181"/>
      <c r="S70" s="19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9.899999999999999" customHeigh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92"/>
      <c r="L71" s="147">
        <v>10</v>
      </c>
      <c r="M71" s="116">
        <f t="shared" ref="M71" si="117">IF($Q64=MIN($Q64:$Q68),M70,M64)</f>
        <v>4.6384814368068046</v>
      </c>
      <c r="N71" s="116">
        <f t="shared" ref="N71" si="118">IF($Q64=MIN($Q64:$Q68),N70,N64)</f>
        <v>4.8830860820303545</v>
      </c>
      <c r="O71" s="116">
        <f t="shared" ref="O71" si="119">IF($Q64=MIN($Q64:$Q68),O70,O64)</f>
        <v>4.9712769713134577</v>
      </c>
      <c r="P71" s="116">
        <f t="shared" ref="P71" si="120">IF($Q64=MIN($Q64:$Q68),P70,P64)</f>
        <v>5</v>
      </c>
      <c r="Q71" s="129">
        <f t="shared" ref="Q71:Q75" si="121">SUMPRODUCT($B$30:$E$30,M71:P71)+$F$30</f>
        <v>138.54273753479518</v>
      </c>
      <c r="R71" s="182">
        <f t="shared" si="102"/>
        <v>1.4125560466927141</v>
      </c>
      <c r="S71" s="19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9.899999999999999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92"/>
      <c r="L72" s="148"/>
      <c r="M72" s="70">
        <f t="shared" ref="M72:P72" si="122">IF($Q65=MIN($Q64:$Q68),M70,M65)</f>
        <v>4.8158866522241777</v>
      </c>
      <c r="N72" s="70">
        <f t="shared" si="122"/>
        <v>4.7386901434370596</v>
      </c>
      <c r="O72" s="70">
        <f t="shared" si="122"/>
        <v>4.9244751660192021</v>
      </c>
      <c r="P72" s="70">
        <f t="shared" si="122"/>
        <v>5</v>
      </c>
      <c r="Q72" s="72">
        <f t="shared" si="121"/>
        <v>138.34780043795402</v>
      </c>
      <c r="R72" s="183"/>
      <c r="S72" s="19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9.899999999999999" customHeigh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92"/>
      <c r="L73" s="148"/>
      <c r="M73" s="70">
        <f t="shared" ref="M73:P73" si="123">IF($Q66=MIN($Q64:$Q68),M70,M66)</f>
        <v>4.8041631767496265</v>
      </c>
      <c r="N73" s="70">
        <f t="shared" si="123"/>
        <v>4.9399924986329999</v>
      </c>
      <c r="O73" s="70">
        <f t="shared" si="123"/>
        <v>4.8484685083397911</v>
      </c>
      <c r="P73" s="70">
        <f t="shared" si="123"/>
        <v>5</v>
      </c>
      <c r="Q73" s="72">
        <f t="shared" si="121"/>
        <v>138.58898106506399</v>
      </c>
      <c r="R73" s="183"/>
      <c r="S73" s="19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9.899999999999999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92"/>
      <c r="L74" s="148"/>
      <c r="M74" s="70">
        <f t="shared" ref="M74:P74" si="124">IF($Q67=MIN($Q64:$Q68),M70,M67)</f>
        <v>4.7831032429430067</v>
      </c>
      <c r="N74" s="70">
        <f t="shared" si="124"/>
        <v>4.8879616994391624</v>
      </c>
      <c r="O74" s="70">
        <f t="shared" si="124"/>
        <v>5</v>
      </c>
      <c r="P74" s="70">
        <f t="shared" si="124"/>
        <v>4.9075140819582757</v>
      </c>
      <c r="Q74" s="72">
        <f t="shared" si="121"/>
        <v>137.53347749222328</v>
      </c>
      <c r="R74" s="183"/>
      <c r="S74" s="19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9.899999999999999" customHeight="1" thickBot="1" x14ac:dyDescent="0.3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92"/>
      <c r="L75" s="148"/>
      <c r="M75" s="75">
        <f t="shared" ref="M75:P75" si="125">IF($Q68=MIN($Q64:$Q68),M70,M68)</f>
        <v>4.906315350197322</v>
      </c>
      <c r="N75" s="75">
        <f t="shared" si="125"/>
        <v>4.9780754499723683</v>
      </c>
      <c r="O75" s="75">
        <f t="shared" si="125"/>
        <v>5</v>
      </c>
      <c r="P75" s="75">
        <f t="shared" si="125"/>
        <v>4.8490724313691977</v>
      </c>
      <c r="Q75" s="73">
        <f t="shared" si="121"/>
        <v>137.17642501837128</v>
      </c>
      <c r="R75" s="183"/>
      <c r="S75" s="19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9.899999999999999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92"/>
      <c r="L76" s="121" t="s">
        <v>60</v>
      </c>
      <c r="M76" s="122">
        <f t="shared" ref="M76" si="126">IF($Q71=MIN($Q71:$Q75),-M71,M71)+IF($Q72=MIN($Q71:$Q75),-M72,M72)+IF($Q73=MIN($Q71:$Q75),-M73,M73)+IF($Q74=MIN($Q71:$Q75), -M74,M74)+IF($Q75=MIN($Q71:$Q75),-M75,M75)</f>
        <v>14.135319158526293</v>
      </c>
      <c r="N76" s="123">
        <f t="shared" ref="N76" si="127">IF($Q71=MIN($Q71:$Q75),-N71,N71)+IF($Q72=MIN($Q71:$Q75),-N72,N72)+IF($Q73=MIN($Q71:$Q75),-N73,N73)+IF($Q74=MIN($Q71:$Q75), -N74,N74)+IF($Q75=MIN($Q71:$Q75),-N75,N75)</f>
        <v>14.471654973567208</v>
      </c>
      <c r="O76" s="123">
        <f t="shared" ref="O76" si="128">IF($Q71=MIN($Q71:$Q75),-O71,O71)+IF($Q72=MIN($Q71:$Q75),-O72,O72)+IF($Q73=MIN($Q71:$Q75),-O73,O73)+IF($Q74=MIN($Q71:$Q75), -O74,O74)+IF($Q75=MIN($Q71:$Q75),-O75,O75)</f>
        <v>14.744220645672453</v>
      </c>
      <c r="P76" s="124">
        <f t="shared" ref="P76" si="129">IF($Q71=MIN($Q71:$Q75),-P71,P71)+IF($Q72=MIN($Q71:$Q75),-P72,P72)+IF($Q73=MIN($Q71:$Q75),-P73,P73)+IF($Q74=MIN($Q71:$Q75), -P74,P74)+IF($Q75=MIN($Q71:$Q75),-P75,P75)</f>
        <v>15.058441650589078</v>
      </c>
      <c r="Q76" s="178">
        <f t="shared" ref="Q76" si="130">MAX(M76:P76)</f>
        <v>15.058441650589078</v>
      </c>
      <c r="R76" s="180">
        <f t="shared" si="112"/>
        <v>3.0116883301178157</v>
      </c>
      <c r="S76" s="19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9.899999999999999" customHeight="1" thickBot="1" x14ac:dyDescent="0.3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92"/>
      <c r="L77" s="125" t="s">
        <v>61</v>
      </c>
      <c r="M77" s="126">
        <f t="shared" ref="M77" si="131">M76/$R76</f>
        <v>4.6934867121437254</v>
      </c>
      <c r="N77" s="127">
        <f t="shared" ref="N77" si="132">N76/$R76</f>
        <v>4.8051635452600383</v>
      </c>
      <c r="O77" s="127">
        <f t="shared" ref="O77" si="133">O76/$R76</f>
        <v>4.8956661611447911</v>
      </c>
      <c r="P77" s="128">
        <f t="shared" ref="P77" si="134">P76/$R76</f>
        <v>5</v>
      </c>
      <c r="Q77" s="179"/>
      <c r="R77" s="181"/>
      <c r="S77" s="19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9.899999999999999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92"/>
      <c r="L78" s="147">
        <v>11</v>
      </c>
      <c r="M78" s="116">
        <f t="shared" ref="M78" si="135">IF($Q71=MIN($Q71:$Q75),M77,M71)</f>
        <v>4.6384814368068046</v>
      </c>
      <c r="N78" s="116">
        <f t="shared" ref="N78" si="136">IF($Q71=MIN($Q71:$Q75),N77,N71)</f>
        <v>4.8830860820303545</v>
      </c>
      <c r="O78" s="116">
        <f t="shared" ref="O78" si="137">IF($Q71=MIN($Q71:$Q75),O77,O71)</f>
        <v>4.9712769713134577</v>
      </c>
      <c r="P78" s="116">
        <f t="shared" ref="P78" si="138">IF($Q71=MIN($Q71:$Q75),P77,P71)</f>
        <v>5</v>
      </c>
      <c r="Q78" s="129">
        <f t="shared" ref="Q78:Q82" si="139">SUMPRODUCT($B$30:$E$30,M78:P78)+$F$30</f>
        <v>138.54273753479518</v>
      </c>
      <c r="R78" s="182">
        <f t="shared" ref="R78" si="140">MAX(Q78:Q82)-MIN(Q78:Q82)</f>
        <v>1.0555035728407063</v>
      </c>
      <c r="S78" s="19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9.899999999999999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92"/>
      <c r="L79" s="148"/>
      <c r="M79" s="70">
        <f t="shared" ref="M79:P79" si="141">IF($Q72=MIN($Q71:$Q75),M77,M72)</f>
        <v>4.8158866522241777</v>
      </c>
      <c r="N79" s="70">
        <f t="shared" si="141"/>
        <v>4.7386901434370596</v>
      </c>
      <c r="O79" s="70">
        <f t="shared" si="141"/>
        <v>4.9244751660192021</v>
      </c>
      <c r="P79" s="70">
        <f t="shared" si="141"/>
        <v>5</v>
      </c>
      <c r="Q79" s="72">
        <f t="shared" si="139"/>
        <v>138.34780043795402</v>
      </c>
      <c r="R79" s="183"/>
      <c r="S79" s="19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9.899999999999999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92"/>
      <c r="L80" s="148"/>
      <c r="M80" s="70">
        <f t="shared" ref="M80:P80" si="142">IF($Q73=MIN($Q71:$Q75),M77,M73)</f>
        <v>4.8041631767496265</v>
      </c>
      <c r="N80" s="70">
        <f t="shared" si="142"/>
        <v>4.9399924986329999</v>
      </c>
      <c r="O80" s="70">
        <f t="shared" si="142"/>
        <v>4.8484685083397911</v>
      </c>
      <c r="P80" s="70">
        <f t="shared" si="142"/>
        <v>5</v>
      </c>
      <c r="Q80" s="72">
        <f t="shared" si="139"/>
        <v>138.58898106506399</v>
      </c>
      <c r="R80" s="183"/>
      <c r="S80" s="19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9.899999999999999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92"/>
      <c r="L81" s="148"/>
      <c r="M81" s="70">
        <f t="shared" ref="M81:P81" si="143">IF($Q74=MIN($Q71:$Q75),M77,M74)</f>
        <v>4.7831032429430067</v>
      </c>
      <c r="N81" s="70">
        <f t="shared" si="143"/>
        <v>4.8879616994391624</v>
      </c>
      <c r="O81" s="70">
        <f t="shared" si="143"/>
        <v>5</v>
      </c>
      <c r="P81" s="70">
        <f t="shared" si="143"/>
        <v>4.9075140819582757</v>
      </c>
      <c r="Q81" s="72">
        <f t="shared" si="139"/>
        <v>137.53347749222328</v>
      </c>
      <c r="R81" s="183"/>
      <c r="S81" s="19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9.899999999999999" customHeight="1" thickBot="1" x14ac:dyDescent="0.3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92"/>
      <c r="L82" s="148"/>
      <c r="M82" s="75">
        <f t="shared" ref="M82:P82" si="144">IF($Q75=MIN($Q71:$Q75),M77,M75)</f>
        <v>4.6934867121437254</v>
      </c>
      <c r="N82" s="75">
        <f t="shared" si="144"/>
        <v>4.8051635452600383</v>
      </c>
      <c r="O82" s="75">
        <f t="shared" si="144"/>
        <v>4.8956661611447911</v>
      </c>
      <c r="P82" s="75">
        <f t="shared" si="144"/>
        <v>5</v>
      </c>
      <c r="Q82" s="73">
        <f t="shared" si="139"/>
        <v>138.07493665681503</v>
      </c>
      <c r="R82" s="183"/>
      <c r="S82" s="19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9.899999999999999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92"/>
      <c r="L83" s="121" t="s">
        <v>60</v>
      </c>
      <c r="M83" s="122">
        <f t="shared" ref="M83" si="145">IF($Q78=MIN($Q78:$Q82),-M78,M78)+IF($Q79=MIN($Q78:$Q82),-M79,M79)+IF($Q80=MIN($Q78:$Q82),-M80,M80)+IF($Q81=MIN($Q78:$Q82), -M81,M81)+IF($Q82=MIN($Q78:$Q82),-M82,M82)</f>
        <v>14.168914734981326</v>
      </c>
      <c r="N83" s="123">
        <f t="shared" ref="N83" si="146">IF($Q78=MIN($Q78:$Q82),-N78,N78)+IF($Q79=MIN($Q78:$Q82),-N79,N79)+IF($Q80=MIN($Q78:$Q82),-N80,N80)+IF($Q81=MIN($Q78:$Q82), -N81,N81)+IF($Q82=MIN($Q78:$Q82),-N82,N82)</f>
        <v>14.478970569921289</v>
      </c>
      <c r="O83" s="123">
        <f t="shared" ref="O83" si="147">IF($Q78=MIN($Q78:$Q82),-O78,O78)+IF($Q79=MIN($Q78:$Q82),-O79,O79)+IF($Q80=MIN($Q78:$Q82),-O80,O80)+IF($Q81=MIN($Q78:$Q82), -O81,O81)+IF($Q82=MIN($Q78:$Q82),-O82,O82)</f>
        <v>14.639886806817245</v>
      </c>
      <c r="P83" s="124">
        <f t="shared" ref="P83" si="148">IF($Q78=MIN($Q78:$Q82),-P78,P78)+IF($Q79=MIN($Q78:$Q82),-P79,P79)+IF($Q80=MIN($Q78:$Q82),-P80,P80)+IF($Q81=MIN($Q78:$Q82), -P81,P81)+IF($Q82=MIN($Q78:$Q82),-P82,P82)</f>
        <v>15.092485918041724</v>
      </c>
      <c r="Q83" s="178">
        <f t="shared" ref="Q83" si="149">MAX(M83:P83)</f>
        <v>15.092485918041724</v>
      </c>
      <c r="R83" s="180">
        <f t="shared" ref="R83" si="150">Q83/5</f>
        <v>3.018497183608345</v>
      </c>
      <c r="S83" s="19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9.899999999999999" customHeight="1" thickBot="1" x14ac:dyDescent="0.3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92"/>
      <c r="L84" s="125" t="s">
        <v>61</v>
      </c>
      <c r="M84" s="126">
        <f t="shared" ref="M84" si="151">M83/$R83</f>
        <v>4.694029470003894</v>
      </c>
      <c r="N84" s="127">
        <f t="shared" ref="N84" si="152">N83/$R83</f>
        <v>4.7967480799875943</v>
      </c>
      <c r="O84" s="127">
        <f t="shared" ref="O84" si="153">O83/$R83</f>
        <v>4.8500581303562997</v>
      </c>
      <c r="P84" s="128">
        <f t="shared" ref="P84" si="154">P83/$R83</f>
        <v>5</v>
      </c>
      <c r="Q84" s="179"/>
      <c r="R84" s="181"/>
      <c r="S84" s="19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9.899999999999999" customHeigh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92"/>
      <c r="L85" s="147">
        <v>12</v>
      </c>
      <c r="M85" s="116">
        <f t="shared" ref="M85" si="155">IF($Q78=MIN($Q78:$Q82),M84,M78)</f>
        <v>4.6384814368068046</v>
      </c>
      <c r="N85" s="116">
        <f t="shared" ref="N85" si="156">IF($Q78=MIN($Q78:$Q82),N84,N78)</f>
        <v>4.8830860820303545</v>
      </c>
      <c r="O85" s="116">
        <f t="shared" ref="O85" si="157">IF($Q78=MIN($Q78:$Q82),O84,O78)</f>
        <v>4.9712769713134577</v>
      </c>
      <c r="P85" s="116">
        <f t="shared" ref="P85" si="158">IF($Q78=MIN($Q78:$Q82),P84,P78)</f>
        <v>5</v>
      </c>
      <c r="Q85" s="129">
        <f t="shared" ref="Q85:Q89" si="159">SUMPRODUCT($B$30:$E$30,M85:P85)+$F$30</f>
        <v>138.54273753479518</v>
      </c>
      <c r="R85" s="182">
        <f t="shared" ref="R85" si="160">MAX(Q85:Q89)-MIN(Q85:Q89)</f>
        <v>0.76400314073993059</v>
      </c>
      <c r="S85" s="19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9.899999999999999" customHeigh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92"/>
      <c r="L86" s="148"/>
      <c r="M86" s="70">
        <f t="shared" ref="M86:P86" si="161">IF($Q79=MIN($Q78:$Q82),M84,M79)</f>
        <v>4.8158866522241777</v>
      </c>
      <c r="N86" s="70">
        <f t="shared" si="161"/>
        <v>4.7386901434370596</v>
      </c>
      <c r="O86" s="70">
        <f t="shared" si="161"/>
        <v>4.9244751660192021</v>
      </c>
      <c r="P86" s="70">
        <f t="shared" si="161"/>
        <v>5</v>
      </c>
      <c r="Q86" s="72">
        <f t="shared" si="159"/>
        <v>138.34780043795402</v>
      </c>
      <c r="R86" s="183"/>
      <c r="S86" s="19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9.899999999999999" customHeigh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92"/>
      <c r="L87" s="148"/>
      <c r="M87" s="70">
        <f t="shared" ref="M87:P87" si="162">IF($Q80=MIN($Q78:$Q82),M84,M80)</f>
        <v>4.8041631767496265</v>
      </c>
      <c r="N87" s="70">
        <f t="shared" si="162"/>
        <v>4.9399924986329999</v>
      </c>
      <c r="O87" s="70">
        <f t="shared" si="162"/>
        <v>4.8484685083397911</v>
      </c>
      <c r="P87" s="70">
        <f t="shared" si="162"/>
        <v>5</v>
      </c>
      <c r="Q87" s="72">
        <f t="shared" si="159"/>
        <v>138.58898106506399</v>
      </c>
      <c r="R87" s="183"/>
      <c r="S87" s="19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9.899999999999999" customHeigh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92"/>
      <c r="L88" s="148"/>
      <c r="M88" s="70">
        <f t="shared" ref="M88:P88" si="163">IF($Q81=MIN($Q78:$Q82),M84,M81)</f>
        <v>4.694029470003894</v>
      </c>
      <c r="N88" s="70">
        <f t="shared" si="163"/>
        <v>4.7967480799875943</v>
      </c>
      <c r="O88" s="70">
        <f t="shared" si="163"/>
        <v>4.8500581303562997</v>
      </c>
      <c r="P88" s="70">
        <f t="shared" si="163"/>
        <v>5</v>
      </c>
      <c r="Q88" s="72">
        <f t="shared" si="159"/>
        <v>137.82497792432406</v>
      </c>
      <c r="R88" s="183"/>
      <c r="S88" s="19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9.899999999999999" customHeight="1" thickBot="1" x14ac:dyDescent="0.3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92"/>
      <c r="L89" s="148"/>
      <c r="M89" s="75">
        <f t="shared" ref="M89:P89" si="164">IF($Q82=MIN($Q78:$Q82),M84,M82)</f>
        <v>4.6934867121437254</v>
      </c>
      <c r="N89" s="75">
        <f t="shared" si="164"/>
        <v>4.8051635452600383</v>
      </c>
      <c r="O89" s="75">
        <f t="shared" si="164"/>
        <v>4.8956661611447911</v>
      </c>
      <c r="P89" s="75">
        <f t="shared" si="164"/>
        <v>5</v>
      </c>
      <c r="Q89" s="73">
        <f t="shared" si="159"/>
        <v>138.07493665681503</v>
      </c>
      <c r="R89" s="183"/>
      <c r="S89" s="19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9.899999999999999" customHeigh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92"/>
      <c r="L90" s="121" t="s">
        <v>60</v>
      </c>
      <c r="M90" s="122">
        <f t="shared" ref="M90" si="165">IF($Q85=MIN($Q85:$Q89),-M85,M85)+IF($Q86=MIN($Q85:$Q89),-M86,M86)+IF($Q87=MIN($Q85:$Q89),-M87,M87)+IF($Q88=MIN($Q85:$Q89), -M88,M88)+IF($Q89=MIN($Q85:$Q89),-M89,M89)</f>
        <v>14.257988507920439</v>
      </c>
      <c r="N90" s="123">
        <f t="shared" ref="N90" si="166">IF($Q85=MIN($Q85:$Q89),-N85,N85)+IF($Q86=MIN($Q85:$Q89),-N86,N86)+IF($Q87=MIN($Q85:$Q89),-N87,N87)+IF($Q88=MIN($Q85:$Q89), -N88,N88)+IF($Q89=MIN($Q85:$Q89),-N89,N89)</f>
        <v>14.570184189372858</v>
      </c>
      <c r="O90" s="123">
        <f t="shared" ref="O90" si="167">IF($Q85=MIN($Q85:$Q89),-O85,O85)+IF($Q86=MIN($Q85:$Q89),-O86,O86)+IF($Q87=MIN($Q85:$Q89),-O87,O87)+IF($Q88=MIN($Q85:$Q89), -O88,O88)+IF($Q89=MIN($Q85:$Q89),-O89,O89)</f>
        <v>14.789828676460946</v>
      </c>
      <c r="P90" s="124">
        <f t="shared" ref="P90" si="168">IF($Q85=MIN($Q85:$Q89),-P85,P85)+IF($Q86=MIN($Q85:$Q89),-P86,P86)+IF($Q87=MIN($Q85:$Q89),-P87,P87)+IF($Q88=MIN($Q85:$Q89), -P88,P88)+IF($Q89=MIN($Q85:$Q89),-P89,P89)</f>
        <v>15</v>
      </c>
      <c r="Q90" s="178">
        <f t="shared" ref="Q90" si="169">MAX(M90:P90)</f>
        <v>15</v>
      </c>
      <c r="R90" s="180">
        <f t="shared" ref="R90" si="170">Q90/5</f>
        <v>3</v>
      </c>
      <c r="S90" s="19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9.899999999999999" customHeight="1" thickBot="1" x14ac:dyDescent="0.3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92"/>
      <c r="L91" s="125" t="s">
        <v>61</v>
      </c>
      <c r="M91" s="126">
        <f t="shared" ref="M91" si="171">M90/$R90</f>
        <v>4.7526628359734797</v>
      </c>
      <c r="N91" s="127">
        <f t="shared" ref="N91" si="172">N90/$R90</f>
        <v>4.8567280631242857</v>
      </c>
      <c r="O91" s="127">
        <f t="shared" ref="O91" si="173">O90/$R90</f>
        <v>4.9299428921536483</v>
      </c>
      <c r="P91" s="128">
        <f t="shared" ref="P91" si="174">P90/$R90</f>
        <v>5</v>
      </c>
      <c r="Q91" s="179"/>
      <c r="R91" s="181"/>
      <c r="S91" s="19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9.899999999999999" customHeigh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92"/>
      <c r="L92" s="147">
        <v>13</v>
      </c>
      <c r="M92" s="116">
        <f t="shared" ref="M92" si="175">IF($Q85=MIN($Q85:$Q89),M91,M85)</f>
        <v>4.6384814368068046</v>
      </c>
      <c r="N92" s="116">
        <f t="shared" ref="N92" si="176">IF($Q85=MIN($Q85:$Q89),N91,N85)</f>
        <v>4.8830860820303545</v>
      </c>
      <c r="O92" s="116">
        <f t="shared" ref="O92" si="177">IF($Q85=MIN($Q85:$Q89),O91,O85)</f>
        <v>4.9712769713134577</v>
      </c>
      <c r="P92" s="116">
        <f t="shared" ref="P92" si="178">IF($Q85=MIN($Q85:$Q89),P91,P85)</f>
        <v>5</v>
      </c>
      <c r="Q92" s="129">
        <f t="shared" ref="Q92:Q96" si="179">SUMPRODUCT($B$30:$E$30,M92:P92)+$F$30</f>
        <v>138.54273753479518</v>
      </c>
      <c r="R92" s="182">
        <f t="shared" ref="R92" si="180">MAX(Q92:Q96)-MIN(Q92:Q96)</f>
        <v>0.51404440824896369</v>
      </c>
      <c r="S92" s="19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9.899999999999999" customHeight="1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92"/>
      <c r="L93" s="148"/>
      <c r="M93" s="70">
        <f t="shared" ref="M93:P93" si="181">IF($Q86=MIN($Q85:$Q89),M91,M86)</f>
        <v>4.8158866522241777</v>
      </c>
      <c r="N93" s="70">
        <f t="shared" si="181"/>
        <v>4.7386901434370596</v>
      </c>
      <c r="O93" s="70">
        <f t="shared" si="181"/>
        <v>4.9244751660192021</v>
      </c>
      <c r="P93" s="70">
        <f t="shared" si="181"/>
        <v>5</v>
      </c>
      <c r="Q93" s="72">
        <f t="shared" si="179"/>
        <v>138.34780043795402</v>
      </c>
      <c r="R93" s="183"/>
      <c r="S93" s="19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9.899999999999999" customHeigh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92"/>
      <c r="L94" s="148"/>
      <c r="M94" s="70">
        <f t="shared" ref="M94:P94" si="182">IF($Q87=MIN($Q85:$Q89),M91,M87)</f>
        <v>4.8041631767496265</v>
      </c>
      <c r="N94" s="70">
        <f t="shared" si="182"/>
        <v>4.9399924986329999</v>
      </c>
      <c r="O94" s="70">
        <f t="shared" si="182"/>
        <v>4.8484685083397911</v>
      </c>
      <c r="P94" s="70">
        <f t="shared" si="182"/>
        <v>5</v>
      </c>
      <c r="Q94" s="72">
        <f t="shared" si="179"/>
        <v>138.58898106506399</v>
      </c>
      <c r="R94" s="183"/>
      <c r="S94" s="19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9.899999999999999" customHeight="1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92"/>
      <c r="L95" s="148"/>
      <c r="M95" s="70">
        <f t="shared" ref="M95:P95" si="183">IF($Q88=MIN($Q85:$Q89),M91,M88)</f>
        <v>4.7526628359734797</v>
      </c>
      <c r="N95" s="70">
        <f t="shared" si="183"/>
        <v>4.8567280631242857</v>
      </c>
      <c r="O95" s="70">
        <f t="shared" si="183"/>
        <v>4.9299428921536483</v>
      </c>
      <c r="P95" s="70">
        <f t="shared" si="183"/>
        <v>5</v>
      </c>
      <c r="Q95" s="72">
        <f t="shared" si="179"/>
        <v>138.5764925901014</v>
      </c>
      <c r="R95" s="183"/>
      <c r="S95" s="19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9.899999999999999" customHeight="1" thickBot="1" x14ac:dyDescent="0.3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92"/>
      <c r="L96" s="148"/>
      <c r="M96" s="75">
        <f t="shared" ref="M96:P96" si="184">IF($Q89=MIN($Q85:$Q89),M91,M89)</f>
        <v>4.6934867121437254</v>
      </c>
      <c r="N96" s="75">
        <f t="shared" si="184"/>
        <v>4.8051635452600383</v>
      </c>
      <c r="O96" s="75">
        <f t="shared" si="184"/>
        <v>4.8956661611447911</v>
      </c>
      <c r="P96" s="75">
        <f t="shared" si="184"/>
        <v>5</v>
      </c>
      <c r="Q96" s="73">
        <f t="shared" si="179"/>
        <v>138.07493665681503</v>
      </c>
      <c r="R96" s="183"/>
      <c r="S96" s="19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9.899999999999999" customHeight="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92"/>
      <c r="L97" s="121" t="s">
        <v>60</v>
      </c>
      <c r="M97" s="122">
        <f t="shared" ref="M97" si="185">IF($Q92=MIN($Q92:$Q96),-M92,M92)+IF($Q93=MIN($Q92:$Q96),-M93,M93)+IF($Q94=MIN($Q92:$Q96),-M94,M94)+IF($Q95=MIN($Q92:$Q96), -M95,M95)+IF($Q96=MIN($Q92:$Q96),-M96,M96)</f>
        <v>14.31770738961036</v>
      </c>
      <c r="N97" s="123">
        <f t="shared" ref="N97" si="186">IF($Q92=MIN($Q92:$Q96),-N92,N92)+IF($Q93=MIN($Q92:$Q96),-N93,N93)+IF($Q94=MIN($Q92:$Q96),-N94,N94)+IF($Q95=MIN($Q92:$Q96), -N95,N95)+IF($Q96=MIN($Q92:$Q96),-N96,N96)</f>
        <v>14.613333241964662</v>
      </c>
      <c r="O97" s="123">
        <f t="shared" ref="O97" si="187">IF($Q92=MIN($Q92:$Q96),-O92,O92)+IF($Q93=MIN($Q92:$Q96),-O93,O93)+IF($Q94=MIN($Q92:$Q96),-O94,O94)+IF($Q95=MIN($Q92:$Q96), -O95,O95)+IF($Q96=MIN($Q92:$Q96),-O96,O96)</f>
        <v>14.778497376681308</v>
      </c>
      <c r="P97" s="124">
        <f t="shared" ref="P97" si="188">IF($Q92=MIN($Q92:$Q96),-P92,P92)+IF($Q93=MIN($Q92:$Q96),-P93,P93)+IF($Q94=MIN($Q92:$Q96),-P94,P94)+IF($Q95=MIN($Q92:$Q96), -P95,P95)+IF($Q96=MIN($Q92:$Q96),-P96,P96)</f>
        <v>15</v>
      </c>
      <c r="Q97" s="178">
        <f t="shared" ref="Q97" si="189">MAX(M97:P97)</f>
        <v>15</v>
      </c>
      <c r="R97" s="180">
        <f t="shared" ref="R97" si="190">Q97/5</f>
        <v>3</v>
      </c>
      <c r="S97" s="19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9.899999999999999" customHeight="1" thickBot="1" x14ac:dyDescent="0.3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92"/>
      <c r="L98" s="125" t="s">
        <v>61</v>
      </c>
      <c r="M98" s="126">
        <f t="shared" ref="M98" si="191">M97/$R97</f>
        <v>4.7725691298701198</v>
      </c>
      <c r="N98" s="127">
        <f t="shared" ref="N98" si="192">N97/$R97</f>
        <v>4.8711110806548872</v>
      </c>
      <c r="O98" s="127">
        <f t="shared" ref="O98" si="193">O97/$R97</f>
        <v>4.9261657922271027</v>
      </c>
      <c r="P98" s="128">
        <f t="shared" ref="P98" si="194">P97/$R97</f>
        <v>5</v>
      </c>
      <c r="Q98" s="179"/>
      <c r="R98" s="181"/>
      <c r="S98" s="19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9.899999999999999" customHeight="1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92"/>
      <c r="L99" s="147">
        <v>14</v>
      </c>
      <c r="M99" s="116">
        <f t="shared" ref="M99" si="195">IF($Q92=MIN($Q92:$Q96),M98,M92)</f>
        <v>4.6384814368068046</v>
      </c>
      <c r="N99" s="116">
        <f t="shared" ref="N99" si="196">IF($Q92=MIN($Q92:$Q96),N98,N92)</f>
        <v>4.8830860820303545</v>
      </c>
      <c r="O99" s="116">
        <f t="shared" ref="O99" si="197">IF($Q92=MIN($Q92:$Q96),O98,O92)</f>
        <v>4.9712769713134577</v>
      </c>
      <c r="P99" s="116">
        <f t="shared" ref="P99" si="198">IF($Q92=MIN($Q92:$Q96),P98,P92)</f>
        <v>5</v>
      </c>
      <c r="Q99" s="129">
        <f t="shared" ref="Q99:Q103" si="199">SUMPRODUCT($B$30:$E$30,M99:P99)+$F$30</f>
        <v>138.54273753479518</v>
      </c>
      <c r="R99" s="182">
        <f t="shared" ref="R99" si="200">MAX(Q99:Q103)-MIN(Q99:Q103)</f>
        <v>0.31255788574583221</v>
      </c>
      <c r="S99" s="19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9.899999999999999" customHeight="1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92"/>
      <c r="L100" s="148"/>
      <c r="M100" s="70">
        <f t="shared" ref="M100:P100" si="201">IF($Q93=MIN($Q92:$Q96),M98,M93)</f>
        <v>4.8158866522241777</v>
      </c>
      <c r="N100" s="70">
        <f t="shared" si="201"/>
        <v>4.7386901434370596</v>
      </c>
      <c r="O100" s="70">
        <f t="shared" si="201"/>
        <v>4.9244751660192021</v>
      </c>
      <c r="P100" s="70">
        <f t="shared" si="201"/>
        <v>5</v>
      </c>
      <c r="Q100" s="72">
        <f t="shared" si="199"/>
        <v>138.34780043795402</v>
      </c>
      <c r="R100" s="183"/>
      <c r="S100" s="19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9.899999999999999" customHeight="1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92"/>
      <c r="L101" s="148"/>
      <c r="M101" s="70">
        <f t="shared" ref="M101:P101" si="202">IF($Q94=MIN($Q92:$Q96),M98,M94)</f>
        <v>4.8041631767496265</v>
      </c>
      <c r="N101" s="70">
        <f t="shared" si="202"/>
        <v>4.9399924986329999</v>
      </c>
      <c r="O101" s="70">
        <f t="shared" si="202"/>
        <v>4.8484685083397911</v>
      </c>
      <c r="P101" s="70">
        <f t="shared" si="202"/>
        <v>5</v>
      </c>
      <c r="Q101" s="72">
        <f t="shared" si="199"/>
        <v>138.58898106506399</v>
      </c>
      <c r="R101" s="183"/>
      <c r="S101" s="19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9.899999999999999" customHeight="1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92"/>
      <c r="L102" s="148"/>
      <c r="M102" s="70">
        <f t="shared" ref="M102:P102" si="203">IF($Q95=MIN($Q92:$Q96),M98,M95)</f>
        <v>4.7526628359734797</v>
      </c>
      <c r="N102" s="70">
        <f t="shared" si="203"/>
        <v>4.8567280631242857</v>
      </c>
      <c r="O102" s="70">
        <f t="shared" si="203"/>
        <v>4.9299428921536483</v>
      </c>
      <c r="P102" s="70">
        <f t="shared" si="203"/>
        <v>5</v>
      </c>
      <c r="Q102" s="72">
        <f t="shared" si="199"/>
        <v>138.5764925901014</v>
      </c>
      <c r="R102" s="183"/>
      <c r="S102" s="19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9.899999999999999" customHeight="1" thickBot="1" x14ac:dyDescent="0.3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92"/>
      <c r="L103" s="148"/>
      <c r="M103" s="75">
        <f t="shared" ref="M103:P103" si="204">IF($Q96=MIN($Q92:$Q96),M98,M96)</f>
        <v>4.7725691298701198</v>
      </c>
      <c r="N103" s="75">
        <f t="shared" si="204"/>
        <v>4.8711110806548872</v>
      </c>
      <c r="O103" s="75">
        <f t="shared" si="204"/>
        <v>4.9261657922271027</v>
      </c>
      <c r="P103" s="75">
        <f t="shared" si="204"/>
        <v>5</v>
      </c>
      <c r="Q103" s="73">
        <f t="shared" si="199"/>
        <v>138.66035832369985</v>
      </c>
      <c r="R103" s="183"/>
      <c r="S103" s="19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9.899999999999999" customHeight="1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92"/>
      <c r="L104" s="121" t="s">
        <v>60</v>
      </c>
      <c r="M104" s="122">
        <f t="shared" ref="M104" si="205">IF($Q99=MIN($Q99:$Q103),-M99,M99)+IF($Q100=MIN($Q99:$Q103),-M100,M100)+IF($Q101=MIN($Q99:$Q103),-M101,M101)+IF($Q102=MIN($Q99:$Q103), -M102,M102)+IF($Q103=MIN($Q99:$Q103),-M103,M103)</f>
        <v>14.151989927175855</v>
      </c>
      <c r="N104" s="123">
        <f t="shared" ref="N104" si="206">IF($Q99=MIN($Q99:$Q103),-N99,N99)+IF($Q100=MIN($Q99:$Q103),-N100,N100)+IF($Q101=MIN($Q99:$Q103),-N101,N101)+IF($Q102=MIN($Q99:$Q103), -N102,N102)+IF($Q103=MIN($Q99:$Q103),-N103,N103)</f>
        <v>14.81222758100547</v>
      </c>
      <c r="O104" s="123">
        <f t="shared" ref="O104" si="207">IF($Q99=MIN($Q99:$Q103),-O99,O99)+IF($Q100=MIN($Q99:$Q103),-O100,O100)+IF($Q101=MIN($Q99:$Q103),-O101,O101)+IF($Q102=MIN($Q99:$Q103), -O102,O102)+IF($Q103=MIN($Q99:$Q103),-O103,O103)</f>
        <v>14.751378998014797</v>
      </c>
      <c r="P104" s="124">
        <f t="shared" ref="P104" si="208">IF($Q99=MIN($Q99:$Q103),-P99,P99)+IF($Q100=MIN($Q99:$Q103),-P100,P100)+IF($Q101=MIN($Q99:$Q103),-P101,P101)+IF($Q102=MIN($Q99:$Q103), -P102,P102)+IF($Q103=MIN($Q99:$Q103),-P103,P103)</f>
        <v>15</v>
      </c>
      <c r="Q104" s="178">
        <f t="shared" ref="Q104" si="209">MAX(M104:P104)</f>
        <v>15</v>
      </c>
      <c r="R104" s="180">
        <f t="shared" ref="R104" si="210">Q104/5</f>
        <v>3</v>
      </c>
      <c r="S104" s="19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9.899999999999999" customHeight="1" thickBot="1" x14ac:dyDescent="0.3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92"/>
      <c r="L105" s="125" t="s">
        <v>61</v>
      </c>
      <c r="M105" s="126">
        <f t="shared" ref="M105" si="211">M104/$R104</f>
        <v>4.7173299757252849</v>
      </c>
      <c r="N105" s="127">
        <f t="shared" ref="N105" si="212">N104/$R104</f>
        <v>4.9374091936684898</v>
      </c>
      <c r="O105" s="127">
        <f t="shared" ref="O105" si="213">O104/$R104</f>
        <v>4.9171263326715993</v>
      </c>
      <c r="P105" s="128">
        <f t="shared" ref="P105" si="214">P104/$R104</f>
        <v>5</v>
      </c>
      <c r="Q105" s="179"/>
      <c r="R105" s="181"/>
      <c r="S105" s="19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9.899999999999999" customHeight="1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92"/>
      <c r="L106" s="192"/>
      <c r="M106" s="192"/>
      <c r="N106" s="192"/>
      <c r="O106" s="192"/>
      <c r="P106" s="192"/>
      <c r="Q106" s="192"/>
      <c r="R106" s="192"/>
      <c r="S106" s="19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9.899999999999999" customHeight="1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92"/>
      <c r="L107" s="192"/>
      <c r="M107" s="192"/>
      <c r="N107" s="192"/>
      <c r="O107" s="192"/>
      <c r="P107" s="192"/>
      <c r="Q107" s="192"/>
      <c r="R107" s="192"/>
      <c r="S107" s="19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9.899999999999999" customHeight="1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9.899999999999999" customHeight="1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9.899999999999999" customHeight="1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9.899999999999999" customHeight="1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9.899999999999999" customHeight="1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9.899999999999999" customHeight="1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9.899999999999999" customHeight="1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9.899999999999999" customHeight="1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9.899999999999999" customHeight="1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9.899999999999999" customHeight="1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9.899999999999999" customHeight="1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9.899999999999999" customHeight="1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9.899999999999999" customHeight="1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9.899999999999999" customHeight="1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9.899999999999999" customHeight="1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9.899999999999999" customHeight="1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9.899999999999999" customHeight="1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9.899999999999999" customHeight="1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9.899999999999999" customHeight="1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9.899999999999999" customHeight="1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9.899999999999999" customHeight="1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9.899999999999999" customHeight="1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9.899999999999999" customHeight="1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9.899999999999999" customHeight="1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9.899999999999999" customHeight="1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9.899999999999999" customHeight="1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9.899999999999999" customHeight="1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9.899999999999999" customHeight="1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9.899999999999999" customHeight="1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9.899999999999999" customHeight="1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9.899999999999999" customHeight="1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9.899999999999999" customHeight="1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9.89999999999999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9.89999999999999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9.89999999999999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9.89999999999999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9.89999999999999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9.89999999999999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9.89999999999999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9.89999999999999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9.89999999999999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9.89999999999999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9.89999999999999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9.89999999999999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9.89999999999999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9.89999999999999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9.89999999999999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9.89999999999999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9.89999999999999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9.89999999999999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9.89999999999999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9.89999999999999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9.89999999999999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9.89999999999999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9.89999999999999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9.89999999999999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9.89999999999999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9.89999999999999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9.89999999999999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9.89999999999999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9.89999999999999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9.89999999999999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9.89999999999999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9.89999999999999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9.89999999999999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9.89999999999999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9.89999999999999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9.89999999999999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9.89999999999999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9.89999999999999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9.89999999999999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9.89999999999999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9.89999999999999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9.89999999999999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9.89999999999999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9.89999999999999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9.89999999999999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9.89999999999999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9.89999999999999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9.89999999999999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9.89999999999999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9.89999999999999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9.89999999999999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9.89999999999999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9.89999999999999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9.89999999999999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9.89999999999999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9.89999999999999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9.89999999999999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9.89999999999999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9.89999999999999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9.89999999999999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9.89999999999999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9.89999999999999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9.89999999999999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9.89999999999999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9.89999999999999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9.89999999999999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9.89999999999999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9.89999999999999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9.89999999999999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9.89999999999999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9.89999999999999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9.89999999999999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9.89999999999999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9.89999999999999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9.89999999999999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9.89999999999999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9.89999999999999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9.89999999999999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9.89999999999999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9.89999999999999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9.89999999999999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9.89999999999999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9.89999999999999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9.89999999999999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9.89999999999999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9.89999999999999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9.89999999999999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9.89999999999999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9.89999999999999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9.89999999999999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9.89999999999999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9.89999999999999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9.89999999999999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8.7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8.7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8.7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8.7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8.7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8.7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8.7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8.7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8.7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8.7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8.7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8.7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8.7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8.7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8.7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8.7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8.7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8.7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8.7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8.7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8.7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8.7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8.7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8.7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8.7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8.7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8.7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8.7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8.7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8.7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8.7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8.7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8.7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8.7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8.7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8.7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8.7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8.7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8.7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8.7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8.7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8.7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8.7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8.7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8.7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8.7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8.7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8.7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8.7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8.7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8.7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8.7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8.7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8.7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8.7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8.7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8.7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8.7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8.7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8.7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8.7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8.7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8.7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8.7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8.7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8.7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8.7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8.7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8.7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</sheetData>
  <mergeCells count="60">
    <mergeCell ref="Q20:Q21"/>
    <mergeCell ref="R20:R21"/>
    <mergeCell ref="L3:L7"/>
    <mergeCell ref="B31:F31"/>
    <mergeCell ref="B32:F32"/>
    <mergeCell ref="R3:R7"/>
    <mergeCell ref="L8:L12"/>
    <mergeCell ref="R8:R12"/>
    <mergeCell ref="Q13:Q14"/>
    <mergeCell ref="R13:R14"/>
    <mergeCell ref="L15:L19"/>
    <mergeCell ref="R15:R19"/>
    <mergeCell ref="L22:L26"/>
    <mergeCell ref="R22:R26"/>
    <mergeCell ref="Q27:Q28"/>
    <mergeCell ref="R27:R28"/>
    <mergeCell ref="L29:L33"/>
    <mergeCell ref="R29:R33"/>
    <mergeCell ref="Q34:Q35"/>
    <mergeCell ref="R34:R35"/>
    <mergeCell ref="L36:L40"/>
    <mergeCell ref="R36:R40"/>
    <mergeCell ref="Q41:Q42"/>
    <mergeCell ref="R41:R42"/>
    <mergeCell ref="L43:L47"/>
    <mergeCell ref="R43:R47"/>
    <mergeCell ref="Q48:Q49"/>
    <mergeCell ref="R48:R49"/>
    <mergeCell ref="L50:L54"/>
    <mergeCell ref="R50:R54"/>
    <mergeCell ref="Q55:Q56"/>
    <mergeCell ref="R55:R56"/>
    <mergeCell ref="L57:L61"/>
    <mergeCell ref="R57:R61"/>
    <mergeCell ref="Q62:Q63"/>
    <mergeCell ref="R62:R63"/>
    <mergeCell ref="L64:L68"/>
    <mergeCell ref="R64:R68"/>
    <mergeCell ref="Q69:Q70"/>
    <mergeCell ref="R69:R70"/>
    <mergeCell ref="L71:L75"/>
    <mergeCell ref="R71:R75"/>
    <mergeCell ref="Q76:Q77"/>
    <mergeCell ref="R76:R77"/>
    <mergeCell ref="L78:L82"/>
    <mergeCell ref="R78:R82"/>
    <mergeCell ref="Q83:Q84"/>
    <mergeCell ref="R83:R84"/>
    <mergeCell ref="L85:L89"/>
    <mergeCell ref="R85:R89"/>
    <mergeCell ref="Q90:Q91"/>
    <mergeCell ref="R90:R91"/>
    <mergeCell ref="Q104:Q105"/>
    <mergeCell ref="R104:R105"/>
    <mergeCell ref="L92:L96"/>
    <mergeCell ref="R92:R96"/>
    <mergeCell ref="Q97:Q98"/>
    <mergeCell ref="R97:R98"/>
    <mergeCell ref="L99:L103"/>
    <mergeCell ref="R99:R103"/>
  </mergeCells>
  <conditionalFormatting sqref="M8:Q12">
    <cfRule type="expression" dxfId="6" priority="11">
      <formula>$Q8=MIN($Q$8:$Q$12)</formula>
    </cfRule>
  </conditionalFormatting>
  <conditionalFormatting sqref="M15:Q15 M22:Q22 M29:Q29 M36:Q36 M43:Q43 M50:Q50 M57:Q57 M64:Q64 M71:Q71 M78:Q78 M85:Q85 M92:Q92 M99:Q99">
    <cfRule type="expression" dxfId="5" priority="6">
      <formula>$Q15=MIN($Q15:$Q19)</formula>
    </cfRule>
  </conditionalFormatting>
  <conditionalFormatting sqref="M16:Q16 M23:Q23 M30:Q30 M37:Q37 M44:Q44 M51:Q51 M58:Q58 M65:Q65 M72:Q72 M79:Q79 M86:Q86 M93:Q93 M100:Q100">
    <cfRule type="expression" dxfId="4" priority="5">
      <formula>$Q16=MIN($Q15:$Q19)</formula>
    </cfRule>
  </conditionalFormatting>
  <conditionalFormatting sqref="M17:Q17 M24:Q24 M31:Q31 M38:Q38 M45:Q45 M52:Q52 M59:Q59 M66:Q66 M73:Q73 M80:Q80 M87:Q87 M94:Q94 M101:Q101">
    <cfRule type="expression" dxfId="3" priority="4">
      <formula>$Q17=MIN($Q15:$Q19)</formula>
    </cfRule>
  </conditionalFormatting>
  <conditionalFormatting sqref="M18:Q18 M25:Q25 M32:Q32 M39:Q39 M46:Q46 M53:Q53 M60:Q60 M67:Q67 M74:Q74 M81:Q81 M88:Q88 M95:Q95 M102:Q102">
    <cfRule type="expression" dxfId="2" priority="3">
      <formula>$Q18=MIN($Q15:$Q19)</formula>
    </cfRule>
  </conditionalFormatting>
  <conditionalFormatting sqref="M19:Q19 M26:Q26 M33:Q33 M40:Q40 M47:Q47 M54:Q54 M61:Q61 M68:Q68 M75:Q75 M82:Q82 M89:Q89 M96:Q96 M103:Q103">
    <cfRule type="expression" dxfId="1" priority="2">
      <formula>$Q19=MIN($Q15:$Q19)</formula>
    </cfRule>
  </conditionalFormatting>
  <conditionalFormatting sqref="R3 R8 R15 R22 R29 R36 R43 R50 R57 R64 R71 R78 R85 R92 R99">
    <cfRule type="cellIs" dxfId="0" priority="1" operator="less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Генерация</vt:lpstr>
      <vt:lpstr>Полученные значения</vt:lpstr>
      <vt:lpstr>Лабораторная работа 2</vt:lpstr>
      <vt:lpstr>Лабораторная работа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Sharigin</dc:creator>
  <cp:lastModifiedBy>Maxim Sharigin</cp:lastModifiedBy>
  <dcterms:created xsi:type="dcterms:W3CDTF">2015-06-05T18:19:34Z</dcterms:created>
  <dcterms:modified xsi:type="dcterms:W3CDTF">2025-11-12T20:28:10Z</dcterms:modified>
</cp:coreProperties>
</file>